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loic/Dev/Disciplina/disciplina-app/veille/"/>
    </mc:Choice>
  </mc:AlternateContent>
  <xr:revisionPtr revIDLastSave="0" documentId="11_8163ABE95389F0EEAA84F5529A50456F244C58CA" xr6:coauthVersionLast="47" xr6:coauthVersionMax="47" xr10:uidLastSave="{00000000-0000-0000-0000-000000000000}"/>
  <bookViews>
    <workbookView xWindow="0" yWindow="660" windowWidth="30240" windowHeight="17680" xr2:uid="{00000000-000D-0000-FFFF-FFFF00000000}"/>
  </bookViews>
  <sheets>
    <sheet name="Abs NTC" sheetId="1" r:id="rId1"/>
    <sheet name="Abs AD" sheetId="2" r:id="rId2"/>
    <sheet name="Abs CC" sheetId="3" r:id="rId3"/>
    <sheet name="Abs REM" sheetId="4" r:id="rId4"/>
  </sheets>
  <definedNames>
    <definedName name="SlicerCache_Table_1_Col_1">#N/A</definedName>
    <definedName name="SlicerCache_Table_2_Col_1">#N/A</definedName>
    <definedName name="SlicerCache_Table_3_Col_1">#N/A</definedName>
    <definedName name="SlicerCache_Table_4_Col_1">#N/A</definedName>
    <definedName name="Z_288B6905_A0AC_444D_99DA_8E8948982A32_.wvu.FilterData" localSheetId="1" hidden="1">'Abs AD'!$A$6:$A$37</definedName>
    <definedName name="Z_288B6905_A0AC_444D_99DA_8E8948982A32_.wvu.FilterData" localSheetId="2" hidden="1">'Abs CC'!$A$6:$A$44</definedName>
    <definedName name="Z_288B6905_A0AC_444D_99DA_8E8948982A32_.wvu.FilterData" localSheetId="0" hidden="1">'Abs NTC'!$A$6:$A$49</definedName>
    <definedName name="Z_288B6905_A0AC_444D_99DA_8E8948982A32_.wvu.FilterData" localSheetId="3" hidden="1">'Abs REM'!$A$6:$A$18</definedName>
  </definedNames>
  <calcPr calcId="191029"/>
  <customWorkbookViews>
    <customWorkbookView name="Filtre 1" guid="{288B6905-A0AC-444D-99DA-8E8948982A32}"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4" l="1"/>
  <c r="G34" i="4"/>
  <c r="F34" i="4"/>
  <c r="E34" i="4"/>
  <c r="I34" i="4" s="1"/>
  <c r="J34" i="4" s="1"/>
  <c r="H33" i="4"/>
  <c r="G33" i="4"/>
  <c r="F33" i="4"/>
  <c r="E33" i="4"/>
  <c r="I33" i="4" s="1"/>
  <c r="J33" i="4" s="1"/>
  <c r="H32" i="4"/>
  <c r="G32" i="4"/>
  <c r="F32" i="4"/>
  <c r="E32" i="4"/>
  <c r="I32" i="4" s="1"/>
  <c r="J32" i="4" s="1"/>
  <c r="H31" i="4"/>
  <c r="G31" i="4"/>
  <c r="F31" i="4"/>
  <c r="E31" i="4"/>
  <c r="I31" i="4" s="1"/>
  <c r="J31" i="4" s="1"/>
  <c r="H30" i="4"/>
  <c r="G30" i="4"/>
  <c r="F30" i="4"/>
  <c r="E30" i="4"/>
  <c r="I30" i="4" s="1"/>
  <c r="J30" i="4" s="1"/>
  <c r="H29" i="4"/>
  <c r="G29" i="4"/>
  <c r="F29" i="4"/>
  <c r="E29" i="4"/>
  <c r="I29" i="4" s="1"/>
  <c r="J29" i="4" s="1"/>
  <c r="H28" i="4"/>
  <c r="G28" i="4"/>
  <c r="F28" i="4"/>
  <c r="E28" i="4"/>
  <c r="I28" i="4" s="1"/>
  <c r="J28" i="4" s="1"/>
  <c r="H27" i="4"/>
  <c r="G27" i="4"/>
  <c r="F27" i="4"/>
  <c r="E27" i="4"/>
  <c r="I27" i="4" s="1"/>
  <c r="J27" i="4" s="1"/>
  <c r="H26" i="4"/>
  <c r="G26" i="4"/>
  <c r="F26" i="4"/>
  <c r="E26" i="4"/>
  <c r="I26" i="4" s="1"/>
  <c r="J26" i="4" s="1"/>
  <c r="H25" i="4"/>
  <c r="G25" i="4"/>
  <c r="F25" i="4"/>
  <c r="E25" i="4"/>
  <c r="I25" i="4" s="1"/>
  <c r="J25" i="4" s="1"/>
  <c r="H24" i="4"/>
  <c r="G24" i="4"/>
  <c r="F24" i="4"/>
  <c r="E24" i="4"/>
  <c r="I24" i="4" s="1"/>
  <c r="J24" i="4" s="1"/>
  <c r="H23" i="4"/>
  <c r="G23" i="4"/>
  <c r="F23" i="4"/>
  <c r="E23" i="4"/>
  <c r="I23" i="4" s="1"/>
  <c r="J23" i="4" s="1"/>
  <c r="H22" i="4"/>
  <c r="G22" i="4"/>
  <c r="F22" i="4"/>
  <c r="E22" i="4"/>
  <c r="I22" i="4" s="1"/>
  <c r="J22" i="4" s="1"/>
  <c r="H21" i="4"/>
  <c r="G21" i="4"/>
  <c r="F21" i="4"/>
  <c r="E21" i="4"/>
  <c r="I21" i="4" s="1"/>
  <c r="J21" i="4" s="1"/>
  <c r="H20" i="4"/>
  <c r="G20" i="4"/>
  <c r="F20" i="4"/>
  <c r="E20" i="4"/>
  <c r="I20" i="4" s="1"/>
  <c r="J20" i="4" s="1"/>
  <c r="H19" i="4"/>
  <c r="G19" i="4"/>
  <c r="F19" i="4"/>
  <c r="E19" i="4"/>
  <c r="I19" i="4" s="1"/>
  <c r="J19" i="4" s="1"/>
  <c r="H18" i="4"/>
  <c r="G18" i="4"/>
  <c r="F18" i="4"/>
  <c r="E18" i="4"/>
  <c r="I18" i="4" s="1"/>
  <c r="J18" i="4" s="1"/>
  <c r="H17" i="4"/>
  <c r="G17" i="4"/>
  <c r="F17" i="4"/>
  <c r="E17" i="4"/>
  <c r="I17" i="4" s="1"/>
  <c r="J17" i="4" s="1"/>
  <c r="H16" i="4"/>
  <c r="G16" i="4"/>
  <c r="F16" i="4"/>
  <c r="E16" i="4"/>
  <c r="I16" i="4" s="1"/>
  <c r="J16" i="4" s="1"/>
  <c r="H15" i="4"/>
  <c r="G15" i="4"/>
  <c r="F15" i="4"/>
  <c r="E15" i="4"/>
  <c r="I15" i="4" s="1"/>
  <c r="J15" i="4" s="1"/>
  <c r="I14" i="4"/>
  <c r="J14" i="4" s="1"/>
  <c r="H14" i="4"/>
  <c r="G14" i="4"/>
  <c r="F14" i="4"/>
  <c r="E14" i="4"/>
  <c r="H13" i="4"/>
  <c r="G13" i="4"/>
  <c r="F13" i="4"/>
  <c r="E13" i="4"/>
  <c r="I13" i="4" s="1"/>
  <c r="J13" i="4" s="1"/>
  <c r="H12" i="4"/>
  <c r="G12" i="4"/>
  <c r="F12" i="4"/>
  <c r="E12" i="4"/>
  <c r="I12" i="4" s="1"/>
  <c r="J12" i="4" s="1"/>
  <c r="H11" i="4"/>
  <c r="G11" i="4"/>
  <c r="F11" i="4"/>
  <c r="E11" i="4"/>
  <c r="I11" i="4" s="1"/>
  <c r="J11" i="4" s="1"/>
  <c r="H10" i="4"/>
  <c r="G10" i="4"/>
  <c r="F10" i="4"/>
  <c r="E10" i="4"/>
  <c r="I10" i="4" s="1"/>
  <c r="J10" i="4" s="1"/>
  <c r="H9" i="4"/>
  <c r="G9" i="4"/>
  <c r="F9" i="4"/>
  <c r="E9" i="4"/>
  <c r="I9" i="4" s="1"/>
  <c r="J9" i="4" s="1"/>
  <c r="H8" i="4"/>
  <c r="G8" i="4"/>
  <c r="F8" i="4"/>
  <c r="E8" i="4"/>
  <c r="I8" i="4" s="1"/>
  <c r="J8" i="4" s="1"/>
  <c r="H7" i="4"/>
  <c r="G7" i="4"/>
  <c r="F7" i="4"/>
  <c r="E7" i="4"/>
  <c r="I7" i="4" s="1"/>
  <c r="J7" i="4" s="1"/>
  <c r="H85" i="3"/>
  <c r="G85" i="3"/>
  <c r="F85" i="3"/>
  <c r="E85" i="3"/>
  <c r="I85" i="3" s="1"/>
  <c r="J85" i="3" s="1"/>
  <c r="H84" i="3"/>
  <c r="G84" i="3"/>
  <c r="F84" i="3"/>
  <c r="E84" i="3"/>
  <c r="I84" i="3" s="1"/>
  <c r="J84" i="3" s="1"/>
  <c r="H83" i="3"/>
  <c r="G83" i="3"/>
  <c r="F83" i="3"/>
  <c r="E83" i="3"/>
  <c r="I83" i="3" s="1"/>
  <c r="J83" i="3" s="1"/>
  <c r="H82" i="3"/>
  <c r="G82" i="3"/>
  <c r="F82" i="3"/>
  <c r="E82" i="3"/>
  <c r="I82" i="3" s="1"/>
  <c r="J82" i="3" s="1"/>
  <c r="H81" i="3"/>
  <c r="G81" i="3"/>
  <c r="F81" i="3"/>
  <c r="E81" i="3"/>
  <c r="I81" i="3" s="1"/>
  <c r="J81" i="3" s="1"/>
  <c r="H80" i="3"/>
  <c r="G80" i="3"/>
  <c r="F80" i="3"/>
  <c r="E80" i="3"/>
  <c r="I80" i="3" s="1"/>
  <c r="J80" i="3" s="1"/>
  <c r="H79" i="3"/>
  <c r="G79" i="3"/>
  <c r="F79" i="3"/>
  <c r="E79" i="3"/>
  <c r="I79" i="3" s="1"/>
  <c r="J79" i="3" s="1"/>
  <c r="H78" i="3"/>
  <c r="G78" i="3"/>
  <c r="F78" i="3"/>
  <c r="E78" i="3"/>
  <c r="I78" i="3" s="1"/>
  <c r="J78" i="3" s="1"/>
  <c r="H77" i="3"/>
  <c r="G77" i="3"/>
  <c r="F77" i="3"/>
  <c r="E77" i="3"/>
  <c r="I77" i="3" s="1"/>
  <c r="J77" i="3" s="1"/>
  <c r="H76" i="3"/>
  <c r="G76" i="3"/>
  <c r="F76" i="3"/>
  <c r="E76" i="3"/>
  <c r="I76" i="3" s="1"/>
  <c r="J76" i="3" s="1"/>
  <c r="H75" i="3"/>
  <c r="G75" i="3"/>
  <c r="F75" i="3"/>
  <c r="E75" i="3"/>
  <c r="I75" i="3" s="1"/>
  <c r="J75" i="3" s="1"/>
  <c r="H74" i="3"/>
  <c r="G74" i="3"/>
  <c r="F74" i="3"/>
  <c r="E74" i="3"/>
  <c r="I74" i="3" s="1"/>
  <c r="J74" i="3" s="1"/>
  <c r="H73" i="3"/>
  <c r="G73" i="3"/>
  <c r="I73" i="3" s="1"/>
  <c r="J73" i="3" s="1"/>
  <c r="F73" i="3"/>
  <c r="E73" i="3"/>
  <c r="H72" i="3"/>
  <c r="G72" i="3"/>
  <c r="F72" i="3"/>
  <c r="E72" i="3"/>
  <c r="I72" i="3" s="1"/>
  <c r="J72" i="3" s="1"/>
  <c r="H71" i="3"/>
  <c r="G71" i="3"/>
  <c r="F71" i="3"/>
  <c r="E71" i="3"/>
  <c r="I71" i="3" s="1"/>
  <c r="J71" i="3" s="1"/>
  <c r="H70" i="3"/>
  <c r="G70" i="3"/>
  <c r="F70" i="3"/>
  <c r="E70" i="3"/>
  <c r="I70" i="3" s="1"/>
  <c r="J70" i="3" s="1"/>
  <c r="H69" i="3"/>
  <c r="G69" i="3"/>
  <c r="F69" i="3"/>
  <c r="E69" i="3"/>
  <c r="I69" i="3" s="1"/>
  <c r="J69" i="3" s="1"/>
  <c r="H68" i="3"/>
  <c r="G68" i="3"/>
  <c r="F68" i="3"/>
  <c r="E68" i="3"/>
  <c r="I68" i="3" s="1"/>
  <c r="J68" i="3" s="1"/>
  <c r="H67" i="3"/>
  <c r="G67" i="3"/>
  <c r="F67" i="3"/>
  <c r="E67" i="3"/>
  <c r="I67" i="3" s="1"/>
  <c r="J67" i="3" s="1"/>
  <c r="H66" i="3"/>
  <c r="G66" i="3"/>
  <c r="F66" i="3"/>
  <c r="E66" i="3"/>
  <c r="I66" i="3" s="1"/>
  <c r="J66" i="3" s="1"/>
  <c r="H65" i="3"/>
  <c r="G65" i="3"/>
  <c r="F65" i="3"/>
  <c r="E65" i="3"/>
  <c r="I65" i="3" s="1"/>
  <c r="J65" i="3" s="1"/>
  <c r="H64" i="3"/>
  <c r="G64" i="3"/>
  <c r="F64" i="3"/>
  <c r="E64" i="3"/>
  <c r="I64" i="3" s="1"/>
  <c r="J64" i="3" s="1"/>
  <c r="H63" i="3"/>
  <c r="G63" i="3"/>
  <c r="F63" i="3"/>
  <c r="E63" i="3"/>
  <c r="I63" i="3" s="1"/>
  <c r="J63" i="3" s="1"/>
  <c r="H62" i="3"/>
  <c r="G62" i="3"/>
  <c r="F62" i="3"/>
  <c r="E62" i="3"/>
  <c r="I62" i="3" s="1"/>
  <c r="J62" i="3" s="1"/>
  <c r="H61" i="3"/>
  <c r="G61" i="3"/>
  <c r="F61" i="3"/>
  <c r="E61" i="3"/>
  <c r="I61" i="3" s="1"/>
  <c r="J61" i="3" s="1"/>
  <c r="H60" i="3"/>
  <c r="G60" i="3"/>
  <c r="F60" i="3"/>
  <c r="E60" i="3"/>
  <c r="I60" i="3" s="1"/>
  <c r="J60" i="3" s="1"/>
  <c r="H59" i="3"/>
  <c r="G59" i="3"/>
  <c r="F59" i="3"/>
  <c r="E59" i="3"/>
  <c r="I59" i="3" s="1"/>
  <c r="J59" i="3" s="1"/>
  <c r="H58" i="3"/>
  <c r="G58" i="3"/>
  <c r="F58" i="3"/>
  <c r="E58" i="3"/>
  <c r="I58" i="3" s="1"/>
  <c r="J58" i="3" s="1"/>
  <c r="H57" i="3"/>
  <c r="G57" i="3"/>
  <c r="F57" i="3"/>
  <c r="E57" i="3"/>
  <c r="I57" i="3" s="1"/>
  <c r="J57" i="3" s="1"/>
  <c r="H56" i="3"/>
  <c r="G56" i="3"/>
  <c r="F56" i="3"/>
  <c r="E56" i="3"/>
  <c r="I56" i="3" s="1"/>
  <c r="J56" i="3" s="1"/>
  <c r="H55" i="3"/>
  <c r="G55" i="3"/>
  <c r="F55" i="3"/>
  <c r="E55" i="3"/>
  <c r="I55" i="3" s="1"/>
  <c r="J55" i="3" s="1"/>
  <c r="H54" i="3"/>
  <c r="G54" i="3"/>
  <c r="F54" i="3"/>
  <c r="E54" i="3"/>
  <c r="I54" i="3" s="1"/>
  <c r="J54" i="3" s="1"/>
  <c r="H53" i="3"/>
  <c r="G53" i="3"/>
  <c r="F53" i="3"/>
  <c r="E53" i="3"/>
  <c r="I53" i="3" s="1"/>
  <c r="J53" i="3" s="1"/>
  <c r="H52" i="3"/>
  <c r="G52" i="3"/>
  <c r="F52" i="3"/>
  <c r="E52" i="3"/>
  <c r="I52" i="3" s="1"/>
  <c r="J52" i="3" s="1"/>
  <c r="H51" i="3"/>
  <c r="G51" i="3"/>
  <c r="F51" i="3"/>
  <c r="E51" i="3"/>
  <c r="I51" i="3" s="1"/>
  <c r="J51" i="3" s="1"/>
  <c r="H50" i="3"/>
  <c r="G50" i="3"/>
  <c r="F50" i="3"/>
  <c r="E50" i="3"/>
  <c r="I50" i="3" s="1"/>
  <c r="J50" i="3" s="1"/>
  <c r="H49" i="3"/>
  <c r="G49" i="3"/>
  <c r="F49" i="3"/>
  <c r="E49" i="3"/>
  <c r="I49" i="3" s="1"/>
  <c r="J49" i="3" s="1"/>
  <c r="H48" i="3"/>
  <c r="G48" i="3"/>
  <c r="F48" i="3"/>
  <c r="E48" i="3"/>
  <c r="I48" i="3" s="1"/>
  <c r="J48" i="3" s="1"/>
  <c r="H47" i="3"/>
  <c r="G47" i="3"/>
  <c r="F47" i="3"/>
  <c r="E47" i="3"/>
  <c r="I47" i="3" s="1"/>
  <c r="J47" i="3" s="1"/>
  <c r="H46" i="3"/>
  <c r="G46" i="3"/>
  <c r="F46" i="3"/>
  <c r="E46" i="3"/>
  <c r="I46" i="3" s="1"/>
  <c r="J46" i="3" s="1"/>
  <c r="H45" i="3"/>
  <c r="G45" i="3"/>
  <c r="F45" i="3"/>
  <c r="E45" i="3"/>
  <c r="I45" i="3" s="1"/>
  <c r="J45" i="3" s="1"/>
  <c r="H44" i="3"/>
  <c r="G44" i="3"/>
  <c r="F44" i="3"/>
  <c r="E44" i="3"/>
  <c r="I44" i="3" s="1"/>
  <c r="J44" i="3" s="1"/>
  <c r="H43" i="3"/>
  <c r="G43" i="3"/>
  <c r="F43" i="3"/>
  <c r="E43" i="3"/>
  <c r="I43" i="3" s="1"/>
  <c r="J43" i="3" s="1"/>
  <c r="H42" i="3"/>
  <c r="G42" i="3"/>
  <c r="F42" i="3"/>
  <c r="E42" i="3"/>
  <c r="I42" i="3" s="1"/>
  <c r="J42" i="3" s="1"/>
  <c r="H41" i="3"/>
  <c r="G41" i="3"/>
  <c r="F41" i="3"/>
  <c r="E41" i="3"/>
  <c r="I41" i="3" s="1"/>
  <c r="J41" i="3" s="1"/>
  <c r="H40" i="3"/>
  <c r="G40" i="3"/>
  <c r="F40" i="3"/>
  <c r="E40" i="3"/>
  <c r="I40" i="3" s="1"/>
  <c r="J40" i="3" s="1"/>
  <c r="H39" i="3"/>
  <c r="G39" i="3"/>
  <c r="F39" i="3"/>
  <c r="E39" i="3"/>
  <c r="I39" i="3" s="1"/>
  <c r="J39" i="3" s="1"/>
  <c r="H38" i="3"/>
  <c r="G38" i="3"/>
  <c r="F38" i="3"/>
  <c r="E38" i="3"/>
  <c r="I38" i="3" s="1"/>
  <c r="J38" i="3" s="1"/>
  <c r="H37" i="3"/>
  <c r="G37" i="3"/>
  <c r="F37" i="3"/>
  <c r="E37" i="3"/>
  <c r="I37" i="3" s="1"/>
  <c r="J37" i="3" s="1"/>
  <c r="H36" i="3"/>
  <c r="G36" i="3"/>
  <c r="F36" i="3"/>
  <c r="E36" i="3"/>
  <c r="I36" i="3" s="1"/>
  <c r="J36" i="3" s="1"/>
  <c r="H35" i="3"/>
  <c r="G35" i="3"/>
  <c r="F35" i="3"/>
  <c r="E35" i="3"/>
  <c r="I35" i="3" s="1"/>
  <c r="J35" i="3" s="1"/>
  <c r="H34" i="3"/>
  <c r="G34" i="3"/>
  <c r="F34" i="3"/>
  <c r="E34" i="3"/>
  <c r="I34" i="3" s="1"/>
  <c r="J34" i="3" s="1"/>
  <c r="H33" i="3"/>
  <c r="G33" i="3"/>
  <c r="F33" i="3"/>
  <c r="E33" i="3"/>
  <c r="I33" i="3" s="1"/>
  <c r="J33" i="3" s="1"/>
  <c r="H32" i="3"/>
  <c r="G32" i="3"/>
  <c r="F32" i="3"/>
  <c r="E32" i="3"/>
  <c r="I32" i="3" s="1"/>
  <c r="J32" i="3" s="1"/>
  <c r="H31" i="3"/>
  <c r="G31" i="3"/>
  <c r="F31" i="3"/>
  <c r="E31" i="3"/>
  <c r="I31" i="3" s="1"/>
  <c r="J31" i="3" s="1"/>
  <c r="H30" i="3"/>
  <c r="G30" i="3"/>
  <c r="F30" i="3"/>
  <c r="E30" i="3"/>
  <c r="I30" i="3" s="1"/>
  <c r="J30" i="3" s="1"/>
  <c r="H29" i="3"/>
  <c r="G29" i="3"/>
  <c r="F29" i="3"/>
  <c r="E29" i="3"/>
  <c r="I29" i="3" s="1"/>
  <c r="J29" i="3" s="1"/>
  <c r="H28" i="3"/>
  <c r="G28" i="3"/>
  <c r="F28" i="3"/>
  <c r="E28" i="3"/>
  <c r="I28" i="3" s="1"/>
  <c r="J28" i="3" s="1"/>
  <c r="H27" i="3"/>
  <c r="G27" i="3"/>
  <c r="F27" i="3"/>
  <c r="E27" i="3"/>
  <c r="I27" i="3" s="1"/>
  <c r="J27" i="3" s="1"/>
  <c r="H26" i="3"/>
  <c r="G26" i="3"/>
  <c r="F26" i="3"/>
  <c r="E26" i="3"/>
  <c r="I26" i="3" s="1"/>
  <c r="J26" i="3" s="1"/>
  <c r="H25" i="3"/>
  <c r="G25" i="3"/>
  <c r="F25" i="3"/>
  <c r="E25" i="3"/>
  <c r="I25" i="3" s="1"/>
  <c r="J25" i="3" s="1"/>
  <c r="H24" i="3"/>
  <c r="G24" i="3"/>
  <c r="F24" i="3"/>
  <c r="E24" i="3"/>
  <c r="I24" i="3" s="1"/>
  <c r="J24" i="3" s="1"/>
  <c r="H23" i="3"/>
  <c r="G23" i="3"/>
  <c r="F23" i="3"/>
  <c r="E23" i="3"/>
  <c r="I23" i="3" s="1"/>
  <c r="J23" i="3" s="1"/>
  <c r="H22" i="3"/>
  <c r="G22" i="3"/>
  <c r="F22" i="3"/>
  <c r="E22" i="3"/>
  <c r="I22" i="3" s="1"/>
  <c r="J22" i="3" s="1"/>
  <c r="H21" i="3"/>
  <c r="G21" i="3"/>
  <c r="F21" i="3"/>
  <c r="E21" i="3"/>
  <c r="I21" i="3" s="1"/>
  <c r="J21" i="3" s="1"/>
  <c r="H20" i="3"/>
  <c r="G20" i="3"/>
  <c r="F20" i="3"/>
  <c r="E20" i="3"/>
  <c r="I20" i="3" s="1"/>
  <c r="J20" i="3" s="1"/>
  <c r="H19" i="3"/>
  <c r="G19" i="3"/>
  <c r="F19" i="3"/>
  <c r="E19" i="3"/>
  <c r="I19" i="3" s="1"/>
  <c r="J19" i="3" s="1"/>
  <c r="H18" i="3"/>
  <c r="G18" i="3"/>
  <c r="F18" i="3"/>
  <c r="E18" i="3"/>
  <c r="I18" i="3" s="1"/>
  <c r="J18" i="3" s="1"/>
  <c r="H17" i="3"/>
  <c r="G17" i="3"/>
  <c r="F17" i="3"/>
  <c r="E17" i="3"/>
  <c r="I17" i="3" s="1"/>
  <c r="J17" i="3" s="1"/>
  <c r="H16" i="3"/>
  <c r="G16" i="3"/>
  <c r="F16" i="3"/>
  <c r="E16" i="3"/>
  <c r="I16" i="3" s="1"/>
  <c r="J16" i="3" s="1"/>
  <c r="H15" i="3"/>
  <c r="G15" i="3"/>
  <c r="F15" i="3"/>
  <c r="E15" i="3"/>
  <c r="I15" i="3" s="1"/>
  <c r="J15" i="3" s="1"/>
  <c r="H14" i="3"/>
  <c r="G14" i="3"/>
  <c r="F14" i="3"/>
  <c r="E14" i="3"/>
  <c r="I14" i="3" s="1"/>
  <c r="J14" i="3" s="1"/>
  <c r="H13" i="3"/>
  <c r="G13" i="3"/>
  <c r="F13" i="3"/>
  <c r="E13" i="3"/>
  <c r="I13" i="3" s="1"/>
  <c r="J13" i="3" s="1"/>
  <c r="H12" i="3"/>
  <c r="G12" i="3"/>
  <c r="F12" i="3"/>
  <c r="E12" i="3"/>
  <c r="I12" i="3" s="1"/>
  <c r="J12" i="3" s="1"/>
  <c r="H11" i="3"/>
  <c r="G11" i="3"/>
  <c r="F11" i="3"/>
  <c r="E11" i="3"/>
  <c r="I11" i="3" s="1"/>
  <c r="J11" i="3" s="1"/>
  <c r="H10" i="3"/>
  <c r="G10" i="3"/>
  <c r="F10" i="3"/>
  <c r="E10" i="3"/>
  <c r="I10" i="3" s="1"/>
  <c r="J10" i="3" s="1"/>
  <c r="H9" i="3"/>
  <c r="G9" i="3"/>
  <c r="F9" i="3"/>
  <c r="E9" i="3"/>
  <c r="I9" i="3" s="1"/>
  <c r="J9" i="3" s="1"/>
  <c r="H8" i="3"/>
  <c r="G8" i="3"/>
  <c r="F8" i="3"/>
  <c r="E8" i="3"/>
  <c r="I8" i="3" s="1"/>
  <c r="J8" i="3" s="1"/>
  <c r="H7" i="3"/>
  <c r="G7" i="3"/>
  <c r="F7" i="3"/>
  <c r="E7" i="3"/>
  <c r="I7" i="3" s="1"/>
  <c r="J7" i="3" s="1"/>
  <c r="H41" i="2"/>
  <c r="G41" i="2"/>
  <c r="F41" i="2"/>
  <c r="E41" i="2"/>
  <c r="I41" i="2" s="1"/>
  <c r="J41" i="2" s="1"/>
  <c r="H40" i="2"/>
  <c r="G40" i="2"/>
  <c r="F40" i="2"/>
  <c r="E40" i="2"/>
  <c r="I40" i="2" s="1"/>
  <c r="J40" i="2" s="1"/>
  <c r="H39" i="2"/>
  <c r="G39" i="2"/>
  <c r="F39" i="2"/>
  <c r="E39" i="2"/>
  <c r="I39" i="2" s="1"/>
  <c r="J39" i="2" s="1"/>
  <c r="H38" i="2"/>
  <c r="G38" i="2"/>
  <c r="F38" i="2"/>
  <c r="E38" i="2"/>
  <c r="I38" i="2" s="1"/>
  <c r="J38" i="2" s="1"/>
  <c r="H37" i="2"/>
  <c r="G37" i="2"/>
  <c r="F37" i="2"/>
  <c r="E37" i="2"/>
  <c r="I37" i="2" s="1"/>
  <c r="J37" i="2" s="1"/>
  <c r="H36" i="2"/>
  <c r="G36" i="2"/>
  <c r="F36" i="2"/>
  <c r="E36" i="2"/>
  <c r="I36" i="2" s="1"/>
  <c r="J36" i="2" s="1"/>
  <c r="H35" i="2"/>
  <c r="G35" i="2"/>
  <c r="F35" i="2"/>
  <c r="E35" i="2"/>
  <c r="I35" i="2" s="1"/>
  <c r="J35" i="2" s="1"/>
  <c r="H34" i="2"/>
  <c r="G34" i="2"/>
  <c r="F34" i="2"/>
  <c r="E34" i="2"/>
  <c r="I34" i="2" s="1"/>
  <c r="J34" i="2" s="1"/>
  <c r="H33" i="2"/>
  <c r="G33" i="2"/>
  <c r="F33" i="2"/>
  <c r="E33" i="2"/>
  <c r="I33" i="2" s="1"/>
  <c r="J33" i="2" s="1"/>
  <c r="H32" i="2"/>
  <c r="G32" i="2"/>
  <c r="F32" i="2"/>
  <c r="E32" i="2"/>
  <c r="I32" i="2" s="1"/>
  <c r="J32" i="2" s="1"/>
  <c r="H31" i="2"/>
  <c r="G31" i="2"/>
  <c r="F31" i="2"/>
  <c r="E31" i="2"/>
  <c r="I31" i="2" s="1"/>
  <c r="J31" i="2" s="1"/>
  <c r="H30" i="2"/>
  <c r="G30" i="2"/>
  <c r="F30" i="2"/>
  <c r="E30" i="2"/>
  <c r="I30" i="2" s="1"/>
  <c r="J30" i="2" s="1"/>
  <c r="H29" i="2"/>
  <c r="G29" i="2"/>
  <c r="F29" i="2"/>
  <c r="E29" i="2"/>
  <c r="I29" i="2" s="1"/>
  <c r="J29" i="2" s="1"/>
  <c r="H28" i="2"/>
  <c r="G28" i="2"/>
  <c r="F28" i="2"/>
  <c r="E28" i="2"/>
  <c r="I28" i="2" s="1"/>
  <c r="J28" i="2" s="1"/>
  <c r="H27" i="2"/>
  <c r="G27" i="2"/>
  <c r="F27" i="2"/>
  <c r="E27" i="2"/>
  <c r="I27" i="2" s="1"/>
  <c r="J27" i="2" s="1"/>
  <c r="I26" i="2"/>
  <c r="J26" i="2" s="1"/>
  <c r="H26" i="2"/>
  <c r="G26" i="2"/>
  <c r="F26" i="2"/>
  <c r="E26" i="2"/>
  <c r="H25" i="2"/>
  <c r="G25" i="2"/>
  <c r="F25" i="2"/>
  <c r="E25" i="2"/>
  <c r="I25" i="2" s="1"/>
  <c r="J25" i="2" s="1"/>
  <c r="H24" i="2"/>
  <c r="G24" i="2"/>
  <c r="F24" i="2"/>
  <c r="E24" i="2"/>
  <c r="I24" i="2" s="1"/>
  <c r="J24" i="2" s="1"/>
  <c r="H23" i="2"/>
  <c r="G23" i="2"/>
  <c r="F23" i="2"/>
  <c r="E23" i="2"/>
  <c r="I23" i="2" s="1"/>
  <c r="J23" i="2" s="1"/>
  <c r="H22" i="2"/>
  <c r="G22" i="2"/>
  <c r="F22" i="2"/>
  <c r="E22" i="2"/>
  <c r="I22" i="2" s="1"/>
  <c r="J22" i="2" s="1"/>
  <c r="H21" i="2"/>
  <c r="G21" i="2"/>
  <c r="F21" i="2"/>
  <c r="E21" i="2"/>
  <c r="I21" i="2" s="1"/>
  <c r="J21" i="2" s="1"/>
  <c r="H20" i="2"/>
  <c r="G20" i="2"/>
  <c r="F20" i="2"/>
  <c r="E20" i="2"/>
  <c r="I20" i="2" s="1"/>
  <c r="J20" i="2" s="1"/>
  <c r="H19" i="2"/>
  <c r="G19" i="2"/>
  <c r="F19" i="2"/>
  <c r="E19" i="2"/>
  <c r="I19" i="2" s="1"/>
  <c r="J19" i="2" s="1"/>
  <c r="H18" i="2"/>
  <c r="G18" i="2"/>
  <c r="F18" i="2"/>
  <c r="E18" i="2"/>
  <c r="I18" i="2" s="1"/>
  <c r="J18" i="2" s="1"/>
  <c r="H17" i="2"/>
  <c r="G17" i="2"/>
  <c r="F17" i="2"/>
  <c r="E17" i="2"/>
  <c r="I17" i="2" s="1"/>
  <c r="J17" i="2" s="1"/>
  <c r="H16" i="2"/>
  <c r="G16" i="2"/>
  <c r="F16" i="2"/>
  <c r="E16" i="2"/>
  <c r="I16" i="2" s="1"/>
  <c r="J16" i="2" s="1"/>
  <c r="H15" i="2"/>
  <c r="G15" i="2"/>
  <c r="F15" i="2"/>
  <c r="E15" i="2"/>
  <c r="I15" i="2" s="1"/>
  <c r="J15" i="2" s="1"/>
  <c r="H14" i="2"/>
  <c r="G14" i="2"/>
  <c r="F14" i="2"/>
  <c r="E14" i="2"/>
  <c r="I14" i="2" s="1"/>
  <c r="J14" i="2" s="1"/>
  <c r="H13" i="2"/>
  <c r="G13" i="2"/>
  <c r="F13" i="2"/>
  <c r="E13" i="2"/>
  <c r="I13" i="2" s="1"/>
  <c r="J13" i="2" s="1"/>
  <c r="H12" i="2"/>
  <c r="G12" i="2"/>
  <c r="F12" i="2"/>
  <c r="E12" i="2"/>
  <c r="I12" i="2" s="1"/>
  <c r="J12" i="2" s="1"/>
  <c r="H11" i="2"/>
  <c r="G11" i="2"/>
  <c r="F11" i="2"/>
  <c r="E11" i="2"/>
  <c r="I11" i="2" s="1"/>
  <c r="J11" i="2" s="1"/>
  <c r="H10" i="2"/>
  <c r="G10" i="2"/>
  <c r="F10" i="2"/>
  <c r="E10" i="2"/>
  <c r="I10" i="2" s="1"/>
  <c r="J10" i="2" s="1"/>
  <c r="H9" i="2"/>
  <c r="G9" i="2"/>
  <c r="F9" i="2"/>
  <c r="E9" i="2"/>
  <c r="I9" i="2" s="1"/>
  <c r="J9" i="2" s="1"/>
  <c r="H8" i="2"/>
  <c r="G8" i="2"/>
  <c r="F8" i="2"/>
  <c r="E8" i="2"/>
  <c r="I8" i="2" s="1"/>
  <c r="J8" i="2" s="1"/>
  <c r="H7" i="2"/>
  <c r="G7" i="2"/>
  <c r="F7" i="2"/>
  <c r="E7" i="2"/>
  <c r="I7" i="2" s="1"/>
  <c r="J7" i="2" s="1"/>
  <c r="H68" i="1"/>
  <c r="G68" i="1"/>
  <c r="I68" i="1" s="1"/>
  <c r="J68" i="1" s="1"/>
  <c r="F68" i="1"/>
  <c r="E68" i="1"/>
  <c r="H67" i="1"/>
  <c r="G67" i="1"/>
  <c r="F67" i="1"/>
  <c r="E67" i="1"/>
  <c r="I67" i="1" s="1"/>
  <c r="J67" i="1" s="1"/>
  <c r="H66" i="1"/>
  <c r="G66" i="1"/>
  <c r="F66" i="1"/>
  <c r="E66" i="1"/>
  <c r="I66" i="1" s="1"/>
  <c r="J66" i="1" s="1"/>
  <c r="H65" i="1"/>
  <c r="G65" i="1"/>
  <c r="F65" i="1"/>
  <c r="E65" i="1"/>
  <c r="I65" i="1" s="1"/>
  <c r="J65" i="1" s="1"/>
  <c r="H64" i="1"/>
  <c r="G64" i="1"/>
  <c r="F64" i="1"/>
  <c r="E64" i="1"/>
  <c r="I64" i="1" s="1"/>
  <c r="J64" i="1" s="1"/>
  <c r="H63" i="1"/>
  <c r="G63" i="1"/>
  <c r="F63" i="1"/>
  <c r="E63" i="1"/>
  <c r="I63" i="1" s="1"/>
  <c r="J63" i="1" s="1"/>
  <c r="H62" i="1"/>
  <c r="G62" i="1"/>
  <c r="F62" i="1"/>
  <c r="E62" i="1"/>
  <c r="I62" i="1" s="1"/>
  <c r="J62" i="1" s="1"/>
  <c r="H61" i="1"/>
  <c r="G61" i="1"/>
  <c r="F61" i="1"/>
  <c r="E61" i="1"/>
  <c r="I61" i="1" s="1"/>
  <c r="J61" i="1" s="1"/>
  <c r="H60" i="1"/>
  <c r="G60" i="1"/>
  <c r="F60" i="1"/>
  <c r="E60" i="1"/>
  <c r="I60" i="1" s="1"/>
  <c r="J60" i="1" s="1"/>
  <c r="H59" i="1"/>
  <c r="G59" i="1"/>
  <c r="F59" i="1"/>
  <c r="E59" i="1"/>
  <c r="I59" i="1" s="1"/>
  <c r="J59" i="1" s="1"/>
  <c r="H58" i="1"/>
  <c r="G58" i="1"/>
  <c r="F58" i="1"/>
  <c r="E58" i="1"/>
  <c r="I58" i="1" s="1"/>
  <c r="J58" i="1" s="1"/>
  <c r="H57" i="1"/>
  <c r="G57" i="1"/>
  <c r="F57" i="1"/>
  <c r="E57" i="1"/>
  <c r="I57" i="1" s="1"/>
  <c r="J57" i="1" s="1"/>
  <c r="H56" i="1"/>
  <c r="G56" i="1"/>
  <c r="F56" i="1"/>
  <c r="E56" i="1"/>
  <c r="I56" i="1" s="1"/>
  <c r="J56" i="1" s="1"/>
  <c r="H55" i="1"/>
  <c r="G55" i="1"/>
  <c r="F55" i="1"/>
  <c r="E55" i="1"/>
  <c r="I55" i="1" s="1"/>
  <c r="J55" i="1" s="1"/>
  <c r="H54" i="1"/>
  <c r="G54" i="1"/>
  <c r="F54" i="1"/>
  <c r="E54" i="1"/>
  <c r="I54" i="1" s="1"/>
  <c r="J54" i="1" s="1"/>
  <c r="H53" i="1"/>
  <c r="G53" i="1"/>
  <c r="F53" i="1"/>
  <c r="E53" i="1"/>
  <c r="I53" i="1" s="1"/>
  <c r="J53" i="1" s="1"/>
  <c r="H52" i="1"/>
  <c r="G52" i="1"/>
  <c r="F52" i="1"/>
  <c r="E52" i="1"/>
  <c r="I52" i="1" s="1"/>
  <c r="J52" i="1" s="1"/>
  <c r="H51" i="1"/>
  <c r="G51" i="1"/>
  <c r="F51" i="1"/>
  <c r="E51" i="1"/>
  <c r="I51" i="1" s="1"/>
  <c r="J51" i="1" s="1"/>
  <c r="H50" i="1"/>
  <c r="G50" i="1"/>
  <c r="F50" i="1"/>
  <c r="E50" i="1"/>
  <c r="I50" i="1" s="1"/>
  <c r="J50" i="1" s="1"/>
  <c r="H49" i="1"/>
  <c r="G49" i="1"/>
  <c r="F49" i="1"/>
  <c r="E49" i="1"/>
  <c r="I49" i="1" s="1"/>
  <c r="J49" i="1" s="1"/>
  <c r="H48" i="1"/>
  <c r="G48" i="1"/>
  <c r="F48" i="1"/>
  <c r="E48" i="1"/>
  <c r="I48" i="1" s="1"/>
  <c r="J48" i="1" s="1"/>
  <c r="H47" i="1"/>
  <c r="G47" i="1"/>
  <c r="F47" i="1"/>
  <c r="E47" i="1"/>
  <c r="I47" i="1" s="1"/>
  <c r="J47" i="1" s="1"/>
  <c r="H46" i="1"/>
  <c r="G46" i="1"/>
  <c r="F46" i="1"/>
  <c r="E46" i="1"/>
  <c r="I46" i="1" s="1"/>
  <c r="J46" i="1" s="1"/>
  <c r="H45" i="1"/>
  <c r="G45" i="1"/>
  <c r="F45" i="1"/>
  <c r="E45" i="1"/>
  <c r="I45" i="1" s="1"/>
  <c r="J45" i="1" s="1"/>
  <c r="H44" i="1"/>
  <c r="G44" i="1"/>
  <c r="F44" i="1"/>
  <c r="E44" i="1"/>
  <c r="I44" i="1" s="1"/>
  <c r="J44" i="1" s="1"/>
  <c r="H43" i="1"/>
  <c r="G43" i="1"/>
  <c r="F43" i="1"/>
  <c r="E43" i="1"/>
  <c r="I43" i="1" s="1"/>
  <c r="J43" i="1" s="1"/>
  <c r="H42" i="1"/>
  <c r="G42" i="1"/>
  <c r="F42" i="1"/>
  <c r="E42" i="1"/>
  <c r="I42" i="1" s="1"/>
  <c r="J42" i="1" s="1"/>
  <c r="H41" i="1"/>
  <c r="G41" i="1"/>
  <c r="F41" i="1"/>
  <c r="E41" i="1"/>
  <c r="I41" i="1" s="1"/>
  <c r="J41" i="1" s="1"/>
  <c r="H40" i="1"/>
  <c r="G40" i="1"/>
  <c r="F40" i="1"/>
  <c r="E40" i="1"/>
  <c r="I40" i="1" s="1"/>
  <c r="J40" i="1" s="1"/>
  <c r="H39" i="1"/>
  <c r="G39" i="1"/>
  <c r="F39" i="1"/>
  <c r="E39" i="1"/>
  <c r="I39" i="1" s="1"/>
  <c r="J39" i="1" s="1"/>
  <c r="H38" i="1"/>
  <c r="G38" i="1"/>
  <c r="F38" i="1"/>
  <c r="E38" i="1"/>
  <c r="I38" i="1" s="1"/>
  <c r="J38" i="1" s="1"/>
  <c r="H37" i="1"/>
  <c r="G37" i="1"/>
  <c r="F37" i="1"/>
  <c r="E37" i="1"/>
  <c r="I37" i="1" s="1"/>
  <c r="J37" i="1" s="1"/>
  <c r="H36" i="1"/>
  <c r="G36" i="1"/>
  <c r="F36" i="1"/>
  <c r="E36" i="1"/>
  <c r="I36" i="1" s="1"/>
  <c r="J36" i="1" s="1"/>
  <c r="H35" i="1"/>
  <c r="G35" i="1"/>
  <c r="F35" i="1"/>
  <c r="E35" i="1"/>
  <c r="I35" i="1" s="1"/>
  <c r="J35" i="1" s="1"/>
  <c r="H34" i="1"/>
  <c r="G34" i="1"/>
  <c r="F34" i="1"/>
  <c r="E34" i="1"/>
  <c r="I34" i="1" s="1"/>
  <c r="J34" i="1" s="1"/>
  <c r="H33" i="1"/>
  <c r="G33" i="1"/>
  <c r="F33" i="1"/>
  <c r="E33" i="1"/>
  <c r="I33" i="1" s="1"/>
  <c r="J33" i="1" s="1"/>
  <c r="H32" i="1"/>
  <c r="G32" i="1"/>
  <c r="F32" i="1"/>
  <c r="E32" i="1"/>
  <c r="I32" i="1" s="1"/>
  <c r="J32" i="1" s="1"/>
  <c r="H31" i="1"/>
  <c r="G31" i="1"/>
  <c r="F31" i="1"/>
  <c r="E31" i="1"/>
  <c r="I31" i="1" s="1"/>
  <c r="J31" i="1" s="1"/>
  <c r="H30" i="1"/>
  <c r="G30" i="1"/>
  <c r="F30" i="1"/>
  <c r="E30" i="1"/>
  <c r="I30" i="1" s="1"/>
  <c r="J30" i="1" s="1"/>
  <c r="H29" i="1"/>
  <c r="G29" i="1"/>
  <c r="F29" i="1"/>
  <c r="E29" i="1"/>
  <c r="I29" i="1" s="1"/>
  <c r="J29" i="1" s="1"/>
  <c r="H28" i="1"/>
  <c r="G28" i="1"/>
  <c r="F28" i="1"/>
  <c r="E28" i="1"/>
  <c r="I28" i="1" s="1"/>
  <c r="J28" i="1" s="1"/>
  <c r="H27" i="1"/>
  <c r="I27" i="1" s="1"/>
  <c r="J27" i="1" s="1"/>
  <c r="G27" i="1"/>
  <c r="F27" i="1"/>
  <c r="E27" i="1"/>
  <c r="H26" i="1"/>
  <c r="G26" i="1"/>
  <c r="F26" i="1"/>
  <c r="E26" i="1"/>
  <c r="I26" i="1" s="1"/>
  <c r="J26" i="1" s="1"/>
  <c r="H25" i="1"/>
  <c r="G25" i="1"/>
  <c r="F25" i="1"/>
  <c r="E25" i="1"/>
  <c r="I25" i="1" s="1"/>
  <c r="J25" i="1" s="1"/>
  <c r="H24" i="1"/>
  <c r="G24" i="1"/>
  <c r="F24" i="1"/>
  <c r="E24" i="1"/>
  <c r="I24" i="1" s="1"/>
  <c r="J24" i="1" s="1"/>
  <c r="H23" i="1"/>
  <c r="G23" i="1"/>
  <c r="F23" i="1"/>
  <c r="E23" i="1"/>
  <c r="I23" i="1" s="1"/>
  <c r="J23" i="1" s="1"/>
  <c r="H22" i="1"/>
  <c r="G22" i="1"/>
  <c r="F22" i="1"/>
  <c r="E22" i="1"/>
  <c r="I22" i="1" s="1"/>
  <c r="J22" i="1" s="1"/>
  <c r="H21" i="1"/>
  <c r="G21" i="1"/>
  <c r="F21" i="1"/>
  <c r="E21" i="1"/>
  <c r="I21" i="1" s="1"/>
  <c r="J21" i="1" s="1"/>
  <c r="H20" i="1"/>
  <c r="G20" i="1"/>
  <c r="F20" i="1"/>
  <c r="E20" i="1"/>
  <c r="I20" i="1" s="1"/>
  <c r="J20" i="1" s="1"/>
  <c r="H19" i="1"/>
  <c r="G19" i="1"/>
  <c r="F19" i="1"/>
  <c r="E19" i="1"/>
  <c r="I19" i="1" s="1"/>
  <c r="J19" i="1" s="1"/>
  <c r="H18" i="1"/>
  <c r="G18" i="1"/>
  <c r="F18" i="1"/>
  <c r="E18" i="1"/>
  <c r="I18" i="1" s="1"/>
  <c r="J18" i="1" s="1"/>
  <c r="H17" i="1"/>
  <c r="G17" i="1"/>
  <c r="F17" i="1"/>
  <c r="E17" i="1"/>
  <c r="I17" i="1" s="1"/>
  <c r="J17" i="1" s="1"/>
  <c r="H16" i="1"/>
  <c r="G16" i="1"/>
  <c r="F16" i="1"/>
  <c r="E16" i="1"/>
  <c r="I16" i="1" s="1"/>
  <c r="J16" i="1" s="1"/>
  <c r="H15" i="1"/>
  <c r="G15" i="1"/>
  <c r="F15" i="1"/>
  <c r="E15" i="1"/>
  <c r="I15" i="1" s="1"/>
  <c r="J15" i="1" s="1"/>
  <c r="H14" i="1"/>
  <c r="G14" i="1"/>
  <c r="F14" i="1"/>
  <c r="E14" i="1"/>
  <c r="I14" i="1" s="1"/>
  <c r="J14" i="1" s="1"/>
  <c r="H13" i="1"/>
  <c r="G13" i="1"/>
  <c r="F13" i="1"/>
  <c r="E13" i="1"/>
  <c r="I13" i="1" s="1"/>
  <c r="J13" i="1" s="1"/>
  <c r="H12" i="1"/>
  <c r="G12" i="1"/>
  <c r="F12" i="1"/>
  <c r="E12" i="1"/>
  <c r="I12" i="1" s="1"/>
  <c r="J12" i="1" s="1"/>
  <c r="H11" i="1"/>
  <c r="G11" i="1"/>
  <c r="F11" i="1"/>
  <c r="E11" i="1"/>
  <c r="I11" i="1" s="1"/>
  <c r="J11" i="1" s="1"/>
  <c r="H10" i="1"/>
  <c r="G10" i="1"/>
  <c r="F10" i="1"/>
  <c r="E10" i="1"/>
  <c r="I10" i="1" s="1"/>
  <c r="J10" i="1" s="1"/>
  <c r="H9" i="1"/>
  <c r="G9" i="1"/>
  <c r="F9" i="1"/>
  <c r="E9" i="1"/>
  <c r="I9" i="1" s="1"/>
  <c r="J9" i="1" s="1"/>
  <c r="H8" i="1"/>
  <c r="G8" i="1"/>
  <c r="F8" i="1"/>
  <c r="E8" i="1"/>
  <c r="I8" i="1" s="1"/>
  <c r="J8" i="1" s="1"/>
  <c r="H7" i="1"/>
  <c r="G7" i="1"/>
  <c r="F7" i="1"/>
  <c r="E7" i="1"/>
  <c r="I7" i="1" s="1"/>
  <c r="J7" i="1" s="1"/>
</calcChain>
</file>

<file path=xl/sharedStrings.xml><?xml version="1.0" encoding="utf-8"?>
<sst xmlns="http://schemas.openxmlformats.org/spreadsheetml/2006/main" count="1080" uniqueCount="349">
  <si>
    <t>Nég. Technico Comm. (NTC)</t>
  </si>
  <si>
    <t>Nb Abs</t>
  </si>
  <si>
    <t>Total hre</t>
  </si>
  <si>
    <t>Taux abs</t>
  </si>
  <si>
    <t>Absence 1</t>
  </si>
  <si>
    <t>Absence 2</t>
  </si>
  <si>
    <t>Absence 3</t>
  </si>
  <si>
    <t>Absence 4</t>
  </si>
  <si>
    <t>Absence 5</t>
  </si>
  <si>
    <t>Absence 6</t>
  </si>
  <si>
    <t>Absence 7</t>
  </si>
  <si>
    <t>Absence 8</t>
  </si>
  <si>
    <t>Absence 9</t>
  </si>
  <si>
    <t>Absence 10</t>
  </si>
  <si>
    <t>Session</t>
  </si>
  <si>
    <t>NOM</t>
  </si>
  <si>
    <t>Prénom</t>
  </si>
  <si>
    <t>Mail</t>
  </si>
  <si>
    <t>AJ</t>
  </si>
  <si>
    <t>AI</t>
  </si>
  <si>
    <t>AM</t>
  </si>
  <si>
    <t>Ent</t>
  </si>
  <si>
    <t>Date</t>
  </si>
  <si>
    <t>Motif</t>
  </si>
  <si>
    <t>Mail niv.1</t>
  </si>
  <si>
    <t>Mail niv.2</t>
  </si>
  <si>
    <t>Mail niv.3</t>
  </si>
  <si>
    <t>Mail niv. +</t>
  </si>
  <si>
    <t>NTC1</t>
  </si>
  <si>
    <t>PARIS</t>
  </si>
  <si>
    <t>Alan</t>
  </si>
  <si>
    <t>20/04/2026 aprem</t>
  </si>
  <si>
    <t>MORIN</t>
  </si>
  <si>
    <t>Jude</t>
  </si>
  <si>
    <t>Cg</t>
  </si>
  <si>
    <t xml:space="preserve">IMAMOU </t>
  </si>
  <si>
    <t xml:space="preserve">Soulouhou </t>
  </si>
  <si>
    <t>NTC2</t>
  </si>
  <si>
    <t xml:space="preserve">CLAIN </t>
  </si>
  <si>
    <t xml:space="preserve">Chloé </t>
  </si>
  <si>
    <t xml:space="preserve">MOULTANIN </t>
  </si>
  <si>
    <t xml:space="preserve">Brice </t>
  </si>
  <si>
    <t xml:space="preserve">SINAMAN </t>
  </si>
  <si>
    <t xml:space="preserve">Amanda </t>
  </si>
  <si>
    <t xml:space="preserve">13/03/2026 matin </t>
  </si>
  <si>
    <t>NTC3</t>
  </si>
  <si>
    <t xml:space="preserve">CAROUMBIN </t>
  </si>
  <si>
    <t>Loïc</t>
  </si>
  <si>
    <t>TRILLE</t>
  </si>
  <si>
    <t xml:space="preserve">Tracy </t>
  </si>
  <si>
    <t xml:space="preserve">TRILLE </t>
  </si>
  <si>
    <t xml:space="preserve">Anasthasya </t>
  </si>
  <si>
    <t>NTC4</t>
  </si>
  <si>
    <t xml:space="preserve">ARAYE </t>
  </si>
  <si>
    <t xml:space="preserve">Océane </t>
  </si>
  <si>
    <t>PICCHIRALO</t>
  </si>
  <si>
    <t xml:space="preserve">Nomenisoa </t>
  </si>
  <si>
    <t>VINGUEDASSALOM</t>
  </si>
  <si>
    <t>Fabien</t>
  </si>
  <si>
    <t>NTC5</t>
  </si>
  <si>
    <t xml:space="preserve">CAMATY </t>
  </si>
  <si>
    <t xml:space="preserve">Maeva </t>
  </si>
  <si>
    <t xml:space="preserve">GANO </t>
  </si>
  <si>
    <t xml:space="preserve">Sarah </t>
  </si>
  <si>
    <t>06/02/ au 13/03</t>
  </si>
  <si>
    <t>13/03 au 14/04</t>
  </si>
  <si>
    <t>LEBON</t>
  </si>
  <si>
    <t>Emile</t>
  </si>
  <si>
    <t xml:space="preserve">DALLEAU </t>
  </si>
  <si>
    <t xml:space="preserve">Maelly </t>
  </si>
  <si>
    <t xml:space="preserve">GALMAR </t>
  </si>
  <si>
    <t xml:space="preserve">Brandon </t>
  </si>
  <si>
    <t>KHOLIL</t>
  </si>
  <si>
    <t xml:space="preserve">Mohamed Bilal </t>
  </si>
  <si>
    <t>NTC6</t>
  </si>
  <si>
    <t xml:space="preserve">HELENE </t>
  </si>
  <si>
    <t xml:space="preserve">Judikael </t>
  </si>
  <si>
    <t xml:space="preserve">GRONDIN </t>
  </si>
  <si>
    <t>Kiéran</t>
  </si>
  <si>
    <t>16/03/ au 23/03</t>
  </si>
  <si>
    <t>SETTAMA</t>
  </si>
  <si>
    <t xml:space="preserve">Mégane </t>
  </si>
  <si>
    <t xml:space="preserve">BETON </t>
  </si>
  <si>
    <t xml:space="preserve">Indira </t>
  </si>
  <si>
    <t>PROMI</t>
  </si>
  <si>
    <t xml:space="preserve">Anthony </t>
  </si>
  <si>
    <t>Etienne</t>
  </si>
  <si>
    <t>DUPUIS</t>
  </si>
  <si>
    <t xml:space="preserve">Stella </t>
  </si>
  <si>
    <t xml:space="preserve">TANCOURT </t>
  </si>
  <si>
    <t xml:space="preserve">Julie </t>
  </si>
  <si>
    <t xml:space="preserve">DELIRON </t>
  </si>
  <si>
    <t xml:space="preserve">Gina </t>
  </si>
  <si>
    <t xml:space="preserve">HAMET </t>
  </si>
  <si>
    <t xml:space="preserve">Alexis </t>
  </si>
  <si>
    <t>VALLIAMEE CALY</t>
  </si>
  <si>
    <t xml:space="preserve"> Kamelen </t>
  </si>
  <si>
    <t xml:space="preserve">BOYER </t>
  </si>
  <si>
    <t xml:space="preserve">Nancy </t>
  </si>
  <si>
    <t xml:space="preserve">MADELEINE </t>
  </si>
  <si>
    <t xml:space="preserve">Lucas </t>
  </si>
  <si>
    <t xml:space="preserve">Ahamadi </t>
  </si>
  <si>
    <t xml:space="preserve">Tandima </t>
  </si>
  <si>
    <t>Assistant de Direction (AD)</t>
  </si>
  <si>
    <t>Absence 11</t>
  </si>
  <si>
    <t>AD2</t>
  </si>
  <si>
    <t xml:space="preserve">CARPAYE </t>
  </si>
  <si>
    <t>Sandrine</t>
  </si>
  <si>
    <t xml:space="preserve">DESILES </t>
  </si>
  <si>
    <t xml:space="preserve">Lanah </t>
  </si>
  <si>
    <t>LAGOURDE</t>
  </si>
  <si>
    <t xml:space="preserve">Doriane </t>
  </si>
  <si>
    <t>PEDIL</t>
  </si>
  <si>
    <t>Aaron</t>
  </si>
  <si>
    <t xml:space="preserve">LARAVINE </t>
  </si>
  <si>
    <t xml:space="preserve">Cynthia </t>
  </si>
  <si>
    <t xml:space="preserve">NATIVEL </t>
  </si>
  <si>
    <t xml:space="preserve">Alice </t>
  </si>
  <si>
    <t>16/03 au 20/03</t>
  </si>
  <si>
    <t>AD3</t>
  </si>
  <si>
    <t xml:space="preserve">THIONG HIME </t>
  </si>
  <si>
    <t xml:space="preserve">Maëlle </t>
  </si>
  <si>
    <t xml:space="preserve">ADAVAMIS </t>
  </si>
  <si>
    <t>Rachelle</t>
  </si>
  <si>
    <t>05/05//2026</t>
  </si>
  <si>
    <t xml:space="preserve">Brenda </t>
  </si>
  <si>
    <t xml:space="preserve">MAILLOT </t>
  </si>
  <si>
    <t>Anne Laure</t>
  </si>
  <si>
    <t>NARAYASSAMY</t>
  </si>
  <si>
    <t>Marc</t>
  </si>
  <si>
    <t xml:space="preserve">DIJOUX </t>
  </si>
  <si>
    <t>Milly-Rose</t>
  </si>
  <si>
    <t>Kyarra</t>
  </si>
  <si>
    <t xml:space="preserve">ALI </t>
  </si>
  <si>
    <t xml:space="preserve">Charifa </t>
  </si>
  <si>
    <t>GOUARD</t>
  </si>
  <si>
    <t>Marion</t>
  </si>
  <si>
    <t>AD4</t>
  </si>
  <si>
    <t>ATCHEEMOONIEN</t>
  </si>
  <si>
    <t>Chekynia</t>
  </si>
  <si>
    <t>BERTILLE</t>
  </si>
  <si>
    <t>Samantha</t>
  </si>
  <si>
    <t xml:space="preserve">01/04/2026 aprem </t>
  </si>
  <si>
    <t>CADET</t>
  </si>
  <si>
    <t xml:space="preserve">Soléne </t>
  </si>
  <si>
    <t xml:space="preserve">LALLEMAND </t>
  </si>
  <si>
    <t>Anita</t>
  </si>
  <si>
    <t xml:space="preserve">MOURDANI </t>
  </si>
  <si>
    <t>Meillyana</t>
  </si>
  <si>
    <t>MORBY</t>
  </si>
  <si>
    <t>Myrhia</t>
  </si>
  <si>
    <t>ROMON</t>
  </si>
  <si>
    <t xml:space="preserve">Enzo </t>
  </si>
  <si>
    <t>MOLLO</t>
  </si>
  <si>
    <t xml:space="preserve">Mael </t>
  </si>
  <si>
    <t xml:space="preserve">BULIN </t>
  </si>
  <si>
    <t xml:space="preserve">Priscilla </t>
  </si>
  <si>
    <t>HOUSNIA</t>
  </si>
  <si>
    <t xml:space="preserve">Darouech </t>
  </si>
  <si>
    <t>`</t>
  </si>
  <si>
    <t>/</t>
  </si>
  <si>
    <t>Conseiller Commercial (CC)</t>
  </si>
  <si>
    <t>CC1</t>
  </si>
  <si>
    <t xml:space="preserve">Lorenzo </t>
  </si>
  <si>
    <t>CC2</t>
  </si>
  <si>
    <t xml:space="preserve">CADET </t>
  </si>
  <si>
    <t xml:space="preserve">Windi </t>
  </si>
  <si>
    <t xml:space="preserve">HAMIDOUNI </t>
  </si>
  <si>
    <t>Cathia</t>
  </si>
  <si>
    <t>RUFFO</t>
  </si>
  <si>
    <t xml:space="preserve">Marie André </t>
  </si>
  <si>
    <t>CC3</t>
  </si>
  <si>
    <t xml:space="preserve">DUCHEMANN </t>
  </si>
  <si>
    <t xml:space="preserve">Julien </t>
  </si>
  <si>
    <t>22/04/2026 Aprem</t>
  </si>
  <si>
    <t>MOUHAMOUD</t>
  </si>
  <si>
    <t xml:space="preserve">Faherdine </t>
  </si>
  <si>
    <t xml:space="preserve">HOAREAU </t>
  </si>
  <si>
    <t>Colleen</t>
  </si>
  <si>
    <t xml:space="preserve">LERIVAIN </t>
  </si>
  <si>
    <t xml:space="preserve">Lorry </t>
  </si>
  <si>
    <t>CC4</t>
  </si>
  <si>
    <t xml:space="preserve">CARLOT </t>
  </si>
  <si>
    <t xml:space="preserve">Samira </t>
  </si>
  <si>
    <t xml:space="preserve">TOURNUT </t>
  </si>
  <si>
    <t>Jay-Z</t>
  </si>
  <si>
    <t xml:space="preserve">NERINA </t>
  </si>
  <si>
    <t xml:space="preserve">Hasnaa </t>
  </si>
  <si>
    <t xml:space="preserve">ROBERT </t>
  </si>
  <si>
    <t xml:space="preserve">Vicky </t>
  </si>
  <si>
    <t>13/03/2026 aprem</t>
  </si>
  <si>
    <t xml:space="preserve">10/04/2026 aprem </t>
  </si>
  <si>
    <t xml:space="preserve">MOINACHE </t>
  </si>
  <si>
    <t xml:space="preserve">Frederic </t>
  </si>
  <si>
    <t xml:space="preserve">TURPIN </t>
  </si>
  <si>
    <t xml:space="preserve">Kylian </t>
  </si>
  <si>
    <t>27/02 au 29/03</t>
  </si>
  <si>
    <t xml:space="preserve">SAID ALI </t>
  </si>
  <si>
    <t xml:space="preserve">Zarianti </t>
  </si>
  <si>
    <t xml:space="preserve">LAI YUNG MU </t>
  </si>
  <si>
    <t xml:space="preserve">Xavier </t>
  </si>
  <si>
    <t>13/03/2026 MATIN</t>
  </si>
  <si>
    <t xml:space="preserve">DENNEMONT </t>
  </si>
  <si>
    <t xml:space="preserve">Olivier </t>
  </si>
  <si>
    <t>CC5</t>
  </si>
  <si>
    <t xml:space="preserve">MOUTOUSSAMY </t>
  </si>
  <si>
    <t xml:space="preserve">CHANE KUNE </t>
  </si>
  <si>
    <t>Kenny</t>
  </si>
  <si>
    <t>MBAE ALI</t>
  </si>
  <si>
    <t>Sébastien</t>
  </si>
  <si>
    <t xml:space="preserve">PAYET </t>
  </si>
  <si>
    <t xml:space="preserve">Pauline </t>
  </si>
  <si>
    <t xml:space="preserve">NOSBE </t>
  </si>
  <si>
    <t xml:space="preserve">Tommy </t>
  </si>
  <si>
    <t xml:space="preserve">FICHERE </t>
  </si>
  <si>
    <t>Ann Kelly</t>
  </si>
  <si>
    <t>ACHEM</t>
  </si>
  <si>
    <t>Abdel</t>
  </si>
  <si>
    <t xml:space="preserve">LUCILLY </t>
  </si>
  <si>
    <t xml:space="preserve">Ilan </t>
  </si>
  <si>
    <t xml:space="preserve">HIVANHOE </t>
  </si>
  <si>
    <t xml:space="preserve">Oramaika </t>
  </si>
  <si>
    <t>WILMAN</t>
  </si>
  <si>
    <t xml:space="preserve">Dylan </t>
  </si>
  <si>
    <t xml:space="preserve">MALET </t>
  </si>
  <si>
    <t xml:space="preserve">Léhyna </t>
  </si>
  <si>
    <t xml:space="preserve">POLEYA </t>
  </si>
  <si>
    <t xml:space="preserve">Lornha  </t>
  </si>
  <si>
    <t xml:space="preserve">Emeline </t>
  </si>
  <si>
    <t xml:space="preserve">ALAMELE </t>
  </si>
  <si>
    <t xml:space="preserve">Landry </t>
  </si>
  <si>
    <t xml:space="preserve">EUPHEMIE </t>
  </si>
  <si>
    <t xml:space="preserve">Johanna </t>
  </si>
  <si>
    <t xml:space="preserve">MMADI </t>
  </si>
  <si>
    <t xml:space="preserve">Souvenir </t>
  </si>
  <si>
    <t xml:space="preserve">VALEAMA </t>
  </si>
  <si>
    <t xml:space="preserve">Thomas </t>
  </si>
  <si>
    <t>CHAMASSI</t>
  </si>
  <si>
    <t xml:space="preserve">Ali </t>
  </si>
  <si>
    <t xml:space="preserve">21/04/2026 renvoyé du cours </t>
  </si>
  <si>
    <t xml:space="preserve">Franco </t>
  </si>
  <si>
    <t xml:space="preserve">LEBON </t>
  </si>
  <si>
    <t>Paola Elina</t>
  </si>
  <si>
    <t>MOHAMMED</t>
  </si>
  <si>
    <t xml:space="preserve">Bacar </t>
  </si>
  <si>
    <t>FABI</t>
  </si>
  <si>
    <t xml:space="preserve">Enrichidine </t>
  </si>
  <si>
    <t>CC6</t>
  </si>
  <si>
    <t xml:space="preserve">PAUSE </t>
  </si>
  <si>
    <t>Karen</t>
  </si>
  <si>
    <t>SANGELLE</t>
  </si>
  <si>
    <t>Orlane</t>
  </si>
  <si>
    <t xml:space="preserve">BIDOIS </t>
  </si>
  <si>
    <t xml:space="preserve">Anais </t>
  </si>
  <si>
    <t xml:space="preserve"> SINGABRAYEN </t>
  </si>
  <si>
    <t xml:space="preserve">Marie celia </t>
  </si>
  <si>
    <t>MERION</t>
  </si>
  <si>
    <t xml:space="preserve"> Eric Marc</t>
  </si>
  <si>
    <t xml:space="preserve"> AHMED</t>
  </si>
  <si>
    <t>Faissoi</t>
  </si>
  <si>
    <t xml:space="preserve">POTIN-SINAPAYEN </t>
  </si>
  <si>
    <t xml:space="preserve"> Emmanuel </t>
  </si>
  <si>
    <t>DRUET</t>
  </si>
  <si>
    <t xml:space="preserve"> Kassandra </t>
  </si>
  <si>
    <t xml:space="preserve">BOLLIVIER </t>
  </si>
  <si>
    <t xml:space="preserve"> CHADHOULI</t>
  </si>
  <si>
    <t>Mariama</t>
  </si>
  <si>
    <t xml:space="preserve"> ALI MTSOUDJAE</t>
  </si>
  <si>
    <t>Zayed</t>
  </si>
  <si>
    <t>HAMADA</t>
  </si>
  <si>
    <t xml:space="preserve">Naël </t>
  </si>
  <si>
    <t xml:space="preserve"> HOARAU</t>
  </si>
  <si>
    <t>Matis</t>
  </si>
  <si>
    <t xml:space="preserve"> MOUSSA</t>
  </si>
  <si>
    <t>Rafina</t>
  </si>
  <si>
    <t xml:space="preserve"> SITOUZE</t>
  </si>
  <si>
    <t xml:space="preserve"> Massena</t>
  </si>
  <si>
    <t>COPEAU</t>
  </si>
  <si>
    <t xml:space="preserve"> Anjali </t>
  </si>
  <si>
    <t>EPISSARD</t>
  </si>
  <si>
    <t xml:space="preserve"> Lucas </t>
  </si>
  <si>
    <t xml:space="preserve"> ELISABETH</t>
  </si>
  <si>
    <t>Loanne</t>
  </si>
  <si>
    <t xml:space="preserve"> BOUTMEZ</t>
  </si>
  <si>
    <t>Olivier</t>
  </si>
  <si>
    <t>HO YEN</t>
  </si>
  <si>
    <t>Julie</t>
  </si>
  <si>
    <t>GRONDIN</t>
  </si>
  <si>
    <t xml:space="preserve"> Cloé </t>
  </si>
  <si>
    <t>PAYET</t>
  </si>
  <si>
    <t xml:space="preserve"> Emeline</t>
  </si>
  <si>
    <t>Resp. Etab. Marchand (REM)</t>
  </si>
  <si>
    <t>REM1</t>
  </si>
  <si>
    <t xml:space="preserve">TAOCHY </t>
  </si>
  <si>
    <t xml:space="preserve">Flavia </t>
  </si>
  <si>
    <t xml:space="preserve">CLAPIER </t>
  </si>
  <si>
    <t xml:space="preserve">Matthias </t>
  </si>
  <si>
    <t xml:space="preserve"> </t>
  </si>
  <si>
    <t>maonda.pedagogie@disciplina.re</t>
  </si>
  <si>
    <t>alanparis412@gmail.com</t>
  </si>
  <si>
    <t>judemor1974@gmail.com</t>
  </si>
  <si>
    <t>clainchloe3@gmail.com</t>
  </si>
  <si>
    <t>bricemoultanin30@gmail.com</t>
  </si>
  <si>
    <t>amanda.sinaman@hotmail.fr</t>
  </si>
  <si>
    <t>caroumbin.loic@gmail.com</t>
  </si>
  <si>
    <t>trilledinaly@gmail.com</t>
  </si>
  <si>
    <t>anasthasyatrille974@gmail.com</t>
  </si>
  <si>
    <t>oceane120499@gmail.com</t>
  </si>
  <si>
    <t>mirellapicchirallo5@gmail.com</t>
  </si>
  <si>
    <t>fabivingue@gmail.com</t>
  </si>
  <si>
    <t>maevacamaty1@gmail.com</t>
  </si>
  <si>
    <t>sarahtestantestan@gmail.com</t>
  </si>
  <si>
    <t>l.emilefrancois974@gmail.com</t>
  </si>
  <si>
    <t>dalleau.maelly01@gmail.com</t>
  </si>
  <si>
    <t>brandongalmar15@gmail.com</t>
  </si>
  <si>
    <t>kholil.billal@hotmail.fr</t>
  </si>
  <si>
    <t>app@gmail.com</t>
  </si>
  <si>
    <t>carpaye.sandrine@gmail.com</t>
  </si>
  <si>
    <t>lanahdesiles18@gmail.com</t>
  </si>
  <si>
    <t>lgrdedoriane1203@gmail.com</t>
  </si>
  <si>
    <t>laravine.cynthia@gmail.com</t>
  </si>
  <si>
    <t>alicenativell@gmail.com</t>
  </si>
  <si>
    <t>thionghime.maelle@gmail.com</t>
  </si>
  <si>
    <t>rachellea020@gmail.com</t>
  </si>
  <si>
    <t>brenda.grondin2@gmail.com</t>
  </si>
  <si>
    <t>annelauremaillot094@gmail.com</t>
  </si>
  <si>
    <t>marcn974@gmail.com</t>
  </si>
  <si>
    <t>dijouxmillyrose@gmail.com</t>
  </si>
  <si>
    <t>elonakichenin@gmail.com</t>
  </si>
  <si>
    <t>charifaali063@gmail.com</t>
  </si>
  <si>
    <t>marion.gouard.hy@gmail.com</t>
  </si>
  <si>
    <t>sam.bertille440@gmail.com</t>
  </si>
  <si>
    <t>renzo.singer97417@gmail.com</t>
  </si>
  <si>
    <t>windi.cadet@gmail.com</t>
  </si>
  <si>
    <t>cathiahamidouni@gmail.com</t>
  </si>
  <si>
    <t>ruffoandrea90@gmail.com</t>
  </si>
  <si>
    <t>duchemannpatrickjulien@gmail.com</t>
  </si>
  <si>
    <t>hoareau.colleen@icloud.com</t>
  </si>
  <si>
    <t>lerivainlorry@gmail.com</t>
  </si>
  <si>
    <t>samira.hilona2104@gmail.com</t>
  </si>
  <si>
    <t>tournutjayz@gmail.com</t>
  </si>
  <si>
    <t>hasnaanerina@gmail.com</t>
  </si>
  <si>
    <t>vr504604@gmail.com</t>
  </si>
  <si>
    <t>fredemoinache438@gmail.com</t>
  </si>
  <si>
    <t>kyliantrp3@gmail.com</t>
  </si>
  <si>
    <t>zariantisaidali15@gmail.com</t>
  </si>
  <si>
    <t>xavierlaiyungmu@gmail.com</t>
  </si>
  <si>
    <t>flav.taochy@gmail.com</t>
  </si>
  <si>
    <t>clapiermatthias@gmail.com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</si>
</sst>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0" x14ac:knownFonts="1">
    <font>
      <sz val="10"/>
      <color rgb="FF000000"/>
      <name val="Arial"/>
      <scheme val="minor"/>
    </font>
    <font>
      <b/>
      <sz val="12"/>
      <color rgb="FF1C4587"/>
      <name val="Arial"/>
      <scheme val="minor"/>
    </font>
    <font>
      <b/>
      <sz val="11"/>
      <color theme="1"/>
      <name val="Arial"/>
      <scheme val="minor"/>
    </font>
    <font>
      <b/>
      <sz val="10"/>
      <color theme="1"/>
      <name val="Arial"/>
      <scheme val="minor"/>
    </font>
    <font>
      <sz val="10"/>
      <name val="Arial"/>
    </font>
    <font>
      <sz val="10"/>
      <color theme="1"/>
      <name val="Arial"/>
      <scheme val="minor"/>
    </font>
    <font>
      <b/>
      <sz val="10"/>
      <color rgb="FF38761D"/>
      <name val="Arial"/>
      <scheme val="minor"/>
    </font>
    <font>
      <b/>
      <sz val="10"/>
      <color rgb="FFF1C232"/>
      <name val="Arial"/>
      <scheme val="minor"/>
    </font>
    <font>
      <b/>
      <sz val="10"/>
      <color rgb="FFFF0000"/>
      <name val="Arial"/>
      <scheme val="minor"/>
    </font>
    <font>
      <b/>
      <sz val="10"/>
      <color rgb="FF783F04"/>
      <name val="Arial"/>
      <scheme val="minor"/>
    </font>
    <font>
      <sz val="8"/>
      <color theme="1"/>
      <name val="Arial"/>
      <scheme val="minor"/>
    </font>
    <font>
      <u/>
      <sz val="10"/>
      <color rgb="FF0000FF"/>
      <name val="Arial"/>
    </font>
    <font>
      <sz val="11"/>
      <color theme="1"/>
      <name val="Arial"/>
      <scheme val="minor"/>
    </font>
    <font>
      <sz val="11"/>
      <color theme="1"/>
      <name val="Arial"/>
    </font>
    <font>
      <sz val="8"/>
      <color theme="1"/>
      <name val="Arial"/>
    </font>
    <font>
      <sz val="12"/>
      <color rgb="FF000000"/>
      <name val="Arial"/>
    </font>
    <font>
      <b/>
      <sz val="9"/>
      <color rgb="FF14101F"/>
      <name val="Arial"/>
    </font>
    <font>
      <sz val="10"/>
      <color theme="1"/>
      <name val="Arial"/>
    </font>
    <font>
      <u/>
      <sz val="10"/>
      <color rgb="FF0000FF"/>
      <name val="Arial"/>
    </font>
    <font>
      <u/>
      <sz val="10"/>
      <color rgb="FF0000FF"/>
      <name val="Arial"/>
    </font>
  </fonts>
  <fills count="5">
    <fill>
      <patternFill patternType="none"/>
    </fill>
    <fill>
      <patternFill patternType="gray125"/>
    </fill>
    <fill>
      <patternFill patternType="solid">
        <fgColor rgb="FFEFEFEF"/>
        <bgColor rgb="FFEFEFEF"/>
      </patternFill>
    </fill>
    <fill>
      <patternFill patternType="solid">
        <fgColor rgb="FFD5A6BD"/>
        <bgColor rgb="FFD5A6BD"/>
      </patternFill>
    </fill>
    <fill>
      <patternFill patternType="solid">
        <fgColor rgb="FFFFFFFF"/>
        <bgColor rgb="FFFFFFFF"/>
      </patternFill>
    </fill>
  </fills>
  <borders count="30">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bottom style="thin">
        <color rgb="FF000000"/>
      </bottom>
      <diagonal/>
    </border>
  </borders>
  <cellStyleXfs count="1">
    <xf numFmtId="0" fontId="0" fillId="0" borderId="0"/>
  </cellStyleXfs>
  <cellXfs count="78">
    <xf numFmtId="0" fontId="0" fillId="0" borderId="0" xfId="0"/>
    <xf numFmtId="0" fontId="1" fillId="0" borderId="0" xfId="0" applyFont="1"/>
    <xf numFmtId="0" fontId="2" fillId="0" borderId="0" xfId="0" applyFont="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xf>
    <xf numFmtId="0" fontId="3" fillId="0" borderId="0" xfId="0" applyFont="1" applyAlignment="1">
      <alignment horizont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6" fillId="0" borderId="10" xfId="0" applyFont="1" applyBorder="1" applyAlignment="1">
      <alignment horizontal="center"/>
    </xf>
    <xf numFmtId="0" fontId="5" fillId="0" borderId="11" xfId="0" applyFont="1" applyBorder="1" applyAlignment="1">
      <alignment horizontal="center"/>
    </xf>
    <xf numFmtId="0" fontId="7" fillId="0" borderId="10" xfId="0" applyFont="1" applyBorder="1" applyAlignment="1">
      <alignment horizontal="center"/>
    </xf>
    <xf numFmtId="0" fontId="8" fillId="0" borderId="10" xfId="0" applyFont="1" applyBorder="1" applyAlignment="1">
      <alignment horizontal="center"/>
    </xf>
    <xf numFmtId="0" fontId="9" fillId="0" borderId="10" xfId="0" applyFont="1" applyBorder="1" applyAlignment="1">
      <alignment horizontal="center"/>
    </xf>
    <xf numFmtId="0" fontId="5" fillId="0" borderId="0" xfId="0" applyFont="1" applyAlignment="1">
      <alignment horizontal="center"/>
    </xf>
    <xf numFmtId="0" fontId="5" fillId="0" borderId="12" xfId="0" applyFont="1" applyBorder="1" applyAlignment="1">
      <alignment horizontal="center"/>
    </xf>
    <xf numFmtId="0" fontId="5" fillId="0" borderId="13" xfId="0" applyFont="1" applyBorder="1"/>
    <xf numFmtId="0" fontId="5" fillId="0" borderId="5"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5" fillId="0" borderId="16" xfId="0" applyFont="1" applyBorder="1" applyAlignment="1">
      <alignment horizontal="center"/>
    </xf>
    <xf numFmtId="0" fontId="8" fillId="2" borderId="17" xfId="0" applyFont="1" applyFill="1" applyBorder="1" applyAlignment="1">
      <alignment horizontal="center"/>
    </xf>
    <xf numFmtId="9" fontId="5" fillId="0" borderId="17" xfId="0" applyNumberFormat="1" applyFont="1" applyBorder="1" applyAlignment="1">
      <alignment horizontal="center"/>
    </xf>
    <xf numFmtId="0" fontId="5" fillId="0" borderId="18" xfId="0" applyFont="1" applyBorder="1"/>
    <xf numFmtId="0" fontId="5" fillId="0" borderId="19" xfId="0" applyFont="1" applyBorder="1"/>
    <xf numFmtId="0" fontId="10" fillId="0" borderId="12" xfId="0" applyFont="1" applyBorder="1"/>
    <xf numFmtId="0" fontId="5" fillId="0" borderId="20" xfId="0" applyFont="1" applyBorder="1"/>
    <xf numFmtId="0" fontId="10" fillId="0" borderId="19" xfId="0" applyFont="1" applyBorder="1"/>
    <xf numFmtId="0" fontId="5" fillId="0" borderId="21" xfId="0" applyFont="1" applyBorder="1"/>
    <xf numFmtId="0" fontId="5" fillId="0" borderId="22" xfId="0" applyFont="1" applyBorder="1" applyAlignment="1">
      <alignment horizontal="center"/>
    </xf>
    <xf numFmtId="0" fontId="5" fillId="0" borderId="23" xfId="0" applyFont="1" applyBorder="1" applyAlignment="1">
      <alignment horizontal="center"/>
    </xf>
    <xf numFmtId="0" fontId="5" fillId="0" borderId="24" xfId="0" applyFont="1" applyBorder="1" applyAlignment="1">
      <alignment horizontal="center"/>
    </xf>
    <xf numFmtId="0" fontId="5" fillId="0" borderId="25" xfId="0" applyFont="1" applyBorder="1" applyAlignment="1">
      <alignment horizontal="center"/>
    </xf>
    <xf numFmtId="0" fontId="8" fillId="2" borderId="26" xfId="0" applyFont="1" applyFill="1" applyBorder="1" applyAlignment="1">
      <alignment horizontal="center"/>
    </xf>
    <xf numFmtId="9" fontId="5" fillId="0" borderId="26" xfId="0" applyNumberFormat="1" applyFont="1" applyBorder="1" applyAlignment="1">
      <alignment horizontal="center"/>
    </xf>
    <xf numFmtId="0" fontId="5" fillId="0" borderId="27" xfId="0" applyFont="1" applyBorder="1"/>
    <xf numFmtId="0" fontId="10" fillId="0" borderId="28" xfId="0" applyFont="1" applyBorder="1"/>
    <xf numFmtId="0" fontId="5" fillId="0" borderId="23" xfId="0" applyFont="1" applyBorder="1"/>
    <xf numFmtId="0" fontId="10" fillId="0" borderId="24" xfId="0" applyFont="1" applyBorder="1"/>
    <xf numFmtId="0" fontId="11" fillId="0" borderId="22" xfId="0" applyFont="1" applyBorder="1" applyAlignment="1">
      <alignment horizontal="center"/>
    </xf>
    <xf numFmtId="14" fontId="5" fillId="0" borderId="27" xfId="0" applyNumberFormat="1" applyFont="1" applyBorder="1"/>
    <xf numFmtId="14" fontId="5" fillId="0" borderId="23" xfId="0" applyNumberFormat="1" applyFont="1" applyBorder="1"/>
    <xf numFmtId="0" fontId="10" fillId="0" borderId="25" xfId="0" applyFont="1" applyBorder="1"/>
    <xf numFmtId="0" fontId="10" fillId="0" borderId="29" xfId="0" applyFont="1" applyBorder="1"/>
    <xf numFmtId="14" fontId="12" fillId="0" borderId="23" xfId="0" applyNumberFormat="1" applyFont="1" applyBorder="1"/>
    <xf numFmtId="0" fontId="12" fillId="0" borderId="19" xfId="0" applyFont="1" applyBorder="1"/>
    <xf numFmtId="14" fontId="5" fillId="3" borderId="23" xfId="0" applyNumberFormat="1" applyFont="1" applyFill="1" applyBorder="1"/>
    <xf numFmtId="14" fontId="13" fillId="0" borderId="23" xfId="0" applyNumberFormat="1" applyFont="1" applyBorder="1" applyAlignment="1">
      <alignment horizontal="right"/>
    </xf>
    <xf numFmtId="0" fontId="13" fillId="0" borderId="19" xfId="0" applyFont="1" applyBorder="1"/>
    <xf numFmtId="0" fontId="14" fillId="0" borderId="28" xfId="0" applyFont="1" applyBorder="1" applyAlignment="1">
      <alignment horizontal="center"/>
    </xf>
    <xf numFmtId="0" fontId="15" fillId="4" borderId="0" xfId="0" applyFont="1" applyFill="1"/>
    <xf numFmtId="164" fontId="5" fillId="0" borderId="23" xfId="0" applyNumberFormat="1" applyFont="1" applyBorder="1"/>
    <xf numFmtId="0" fontId="16" fillId="4" borderId="24" xfId="0" applyFont="1" applyFill="1" applyBorder="1" applyAlignment="1">
      <alignment horizontal="left"/>
    </xf>
    <xf numFmtId="0" fontId="5" fillId="0" borderId="26" xfId="0" applyFont="1" applyBorder="1"/>
    <xf numFmtId="14" fontId="17" fillId="0" borderId="23" xfId="0" applyNumberFormat="1" applyFont="1" applyBorder="1" applyAlignment="1">
      <alignment horizontal="right"/>
    </xf>
    <xf numFmtId="0" fontId="17" fillId="0" borderId="19" xfId="0" applyFont="1" applyBorder="1"/>
    <xf numFmtId="0" fontId="5" fillId="0" borderId="0" xfId="0" applyFont="1"/>
    <xf numFmtId="0" fontId="3" fillId="0" borderId="17" xfId="0" applyFont="1" applyBorder="1" applyAlignment="1">
      <alignment horizontal="center"/>
    </xf>
    <xf numFmtId="0" fontId="3" fillId="0" borderId="26" xfId="0" applyFont="1" applyBorder="1" applyAlignment="1">
      <alignment horizontal="center"/>
    </xf>
    <xf numFmtId="0" fontId="12" fillId="0" borderId="12" xfId="0" applyFont="1" applyBorder="1" applyAlignment="1">
      <alignment horizontal="center"/>
    </xf>
    <xf numFmtId="0" fontId="13" fillId="4" borderId="24" xfId="0" applyFont="1" applyFill="1" applyBorder="1"/>
    <xf numFmtId="0" fontId="12" fillId="0" borderId="21" xfId="0" applyFont="1" applyBorder="1"/>
    <xf numFmtId="14" fontId="12" fillId="0" borderId="27" xfId="0" applyNumberFormat="1" applyFont="1" applyBorder="1"/>
    <xf numFmtId="0" fontId="18" fillId="0" borderId="22" xfId="0" applyFont="1" applyBorder="1" applyAlignment="1">
      <alignment horizontal="center" vertical="center"/>
    </xf>
    <xf numFmtId="0" fontId="19" fillId="0" borderId="0" xfId="0" applyFont="1"/>
    <xf numFmtId="0" fontId="3" fillId="0" borderId="5" xfId="0" applyFont="1" applyBorder="1" applyAlignment="1">
      <alignment horizontal="center"/>
    </xf>
    <xf numFmtId="0" fontId="4" fillId="0" borderId="3" xfId="0" applyFont="1" applyBorder="1"/>
    <xf numFmtId="0" fontId="4" fillId="0" borderId="4" xfId="0" applyFont="1" applyBorder="1"/>
    <xf numFmtId="0" fontId="3" fillId="0" borderId="3" xfId="0" applyFont="1" applyBorder="1" applyAlignment="1">
      <alignment horizontal="center"/>
    </xf>
    <xf numFmtId="0" fontId="3" fillId="2" borderId="1" xfId="0" applyFont="1" applyFill="1" applyBorder="1" applyAlignment="1">
      <alignment horizontal="center" vertical="center" wrapText="1"/>
    </xf>
    <xf numFmtId="0" fontId="4" fillId="0" borderId="6" xfId="0" applyFont="1" applyBorder="1"/>
    <xf numFmtId="0" fontId="3" fillId="0" borderId="1" xfId="0" applyFont="1" applyBorder="1" applyAlignment="1">
      <alignment horizontal="center" vertical="center" wrapText="1"/>
    </xf>
  </cellXfs>
  <cellStyles count="1">
    <cellStyle name="Normal" xfId="0" builtinId="0"/>
  </cellStyles>
  <dxfs count="12">
    <dxf>
      <font>
        <b/>
        <color rgb="FFFF0000"/>
      </font>
      <fill>
        <patternFill patternType="solid">
          <fgColor theme="0"/>
          <bgColor theme="0"/>
        </patternFill>
      </fill>
    </dxf>
    <dxf>
      <font>
        <b/>
        <color rgb="FF38761D"/>
      </font>
      <fill>
        <patternFill patternType="solid">
          <fgColor theme="0"/>
          <bgColor theme="0"/>
        </patternFill>
      </fill>
    </dxf>
    <dxf>
      <font>
        <b/>
        <color rgb="FFE69138"/>
      </font>
      <fill>
        <patternFill patternType="solid">
          <fgColor theme="0"/>
          <bgColor theme="0"/>
        </patternFill>
      </fill>
    </dxf>
    <dxf>
      <font>
        <b/>
        <color rgb="FFFF0000"/>
      </font>
      <fill>
        <patternFill patternType="solid">
          <fgColor theme="0"/>
          <bgColor theme="0"/>
        </patternFill>
      </fill>
    </dxf>
    <dxf>
      <font>
        <b/>
        <color rgb="FF38761D"/>
      </font>
      <fill>
        <patternFill patternType="solid">
          <fgColor theme="0"/>
          <bgColor theme="0"/>
        </patternFill>
      </fill>
    </dxf>
    <dxf>
      <font>
        <b/>
        <color rgb="FFE69138"/>
      </font>
      <fill>
        <patternFill patternType="solid">
          <fgColor theme="0"/>
          <bgColor theme="0"/>
        </patternFill>
      </fill>
    </dxf>
    <dxf>
      <font>
        <b/>
        <color rgb="FFFF0000"/>
      </font>
      <fill>
        <patternFill patternType="solid">
          <fgColor theme="0"/>
          <bgColor theme="0"/>
        </patternFill>
      </fill>
    </dxf>
    <dxf>
      <font>
        <b/>
        <color rgb="FF38761D"/>
      </font>
      <fill>
        <patternFill patternType="solid">
          <fgColor theme="0"/>
          <bgColor theme="0"/>
        </patternFill>
      </fill>
    </dxf>
    <dxf>
      <font>
        <b/>
        <color rgb="FFE69138"/>
      </font>
      <fill>
        <patternFill patternType="solid">
          <fgColor theme="0"/>
          <bgColor theme="0"/>
        </patternFill>
      </fill>
    </dxf>
    <dxf>
      <font>
        <b/>
        <color rgb="FFFF0000"/>
      </font>
      <fill>
        <patternFill patternType="solid">
          <fgColor theme="0"/>
          <bgColor theme="0"/>
        </patternFill>
      </fill>
    </dxf>
    <dxf>
      <font>
        <b/>
        <color rgb="FF38761D"/>
      </font>
      <fill>
        <patternFill patternType="solid">
          <fgColor theme="0"/>
          <bgColor theme="0"/>
        </patternFill>
      </fill>
    </dxf>
    <dxf>
      <font>
        <b/>
        <color rgb="FFE69138"/>
      </font>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171450</xdr:colOff>
      <xdr:row>0</xdr:row>
      <xdr:rowOff>219075</xdr:rowOff>
    </xdr:from>
    <xdr:ext cx="2028825" cy="2857500"/>
    <mc:AlternateContent xmlns:mc="http://schemas.openxmlformats.org/markup-compatibility/2006" xmlns:sle15="http://schemas.microsoft.com/office/drawing/2012/slicer">
      <mc:Choice Requires="sle15">
        <xdr:graphicFrame macro="">
          <xdr:nvGraphicFramePr>
            <xdr:cNvPr id="2" name="Session_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Session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171450</xdr:colOff>
      <xdr:row>0</xdr:row>
      <xdr:rowOff>219075</xdr:rowOff>
    </xdr:from>
    <xdr:ext cx="2028825" cy="2857500"/>
    <mc:AlternateContent xmlns:mc="http://schemas.openxmlformats.org/markup-compatibility/2006" xmlns:sle15="http://schemas.microsoft.com/office/drawing/2012/slicer">
      <mc:Choice Requires="sle15">
        <xdr:graphicFrame macro="">
          <xdr:nvGraphicFramePr>
            <xdr:cNvPr id="2" name="Session_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Session_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171450</xdr:colOff>
      <xdr:row>0</xdr:row>
      <xdr:rowOff>219075</xdr:rowOff>
    </xdr:from>
    <xdr:ext cx="2028825" cy="2857500"/>
    <mc:AlternateContent xmlns:mc="http://schemas.openxmlformats.org/markup-compatibility/2006" xmlns:sle15="http://schemas.microsoft.com/office/drawing/2012/slicer">
      <mc:Choice Requires="sle15">
        <xdr:graphicFrame macro="">
          <xdr:nvGraphicFramePr>
            <xdr:cNvPr id="3" name="Session_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Session_3"/>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171450</xdr:colOff>
      <xdr:row>0</xdr:row>
      <xdr:rowOff>219075</xdr:rowOff>
    </xdr:from>
    <xdr:ext cx="2028825" cy="2857500"/>
    <mc:AlternateContent xmlns:mc="http://schemas.openxmlformats.org/markup-compatibility/2006" xmlns:sle15="http://schemas.microsoft.com/office/drawing/2012/slicer">
      <mc:Choice Requires="sle15">
        <xdr:graphicFrame macro="">
          <xdr:nvGraphicFramePr>
            <xdr:cNvPr id="4" name="Session_4">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Session_4"/>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Session">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 xr10:uid="{00000000-0013-0000-FFFF-FFFF02000000}" sourceName="Session">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3_Col_1" xr10:uid="{00000000-0013-0000-FFFF-FFFF03000000}" sourceName="Session">
  <extLst>
    <x:ext xmlns:x15="http://schemas.microsoft.com/office/spreadsheetml/2010/11/main" uri="{2F2917AC-EB37-4324-AD4E-5DD8C200BD13}">
      <x15:tableSlicerCache tableId="3"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 xr10:uid="{00000000-0013-0000-FFFF-FFFF04000000}" sourceName="Session">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sion_1" xr10:uid="{00000000-0014-0000-FFFF-FFFF01000000}" cache="SlicerCache_Table_1_Col_1" caption="Sess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sion_2" xr10:uid="{00000000-0014-0000-FFFF-FFFF02000000}" cache="SlicerCache_Table_2_Col_1" caption="Sess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sion_3" xr10:uid="{00000000-0014-0000-FFFF-FFFF03000000}" cache="SlicerCache_Table_3_Col_1" caption="Session"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sion_4" xr10:uid="{00000000-0014-0000-FFFF-FFFF04000000}" cache="SlicerCache_Table_4_Col_1" caption="Sess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6:A49">
  <autoFilter ref="A6:A49" xr:uid="{00000000-0009-0000-0100-000001000000}">
    <filterColumn colId="0">
      <filters>
        <filter val="NTC1"/>
        <filter val="NTC2"/>
        <filter val="NTC3"/>
        <filter val="NTC4"/>
        <filter val="NTC5"/>
        <filter val="NTC6"/>
      </filters>
    </filterColumn>
  </autoFilter>
  <tableColumns count="1">
    <tableColumn id="1" xr3:uid="{00000000-0010-0000-0000-000001000000}" name="Session"/>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6:A37">
  <autoFilter ref="A6:A37" xr:uid="{00000000-0009-0000-0100-000002000000}">
    <filterColumn colId="0">
      <filters>
        <filter val="AD2"/>
        <filter val="AD3"/>
        <filter val="AD4"/>
      </filters>
    </filterColumn>
  </autoFilter>
  <tableColumns count="1">
    <tableColumn id="1" xr3:uid="{00000000-0010-0000-0100-000001000000}" name="Session"/>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6:A44">
  <autoFilter ref="A6:A44" xr:uid="{00000000-0009-0000-0100-000003000000}">
    <filterColumn colId="0">
      <filters>
        <filter val="CC1"/>
        <filter val="CC2"/>
        <filter val="CC3"/>
        <filter val="CC4"/>
        <filter val="CC5"/>
      </filters>
    </filterColumn>
  </autoFilter>
  <tableColumns count="1">
    <tableColumn id="1" xr3:uid="{00000000-0010-0000-0200-000001000000}" name="Session"/>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6:A18">
  <autoFilter ref="A6:A18" xr:uid="{00000000-0009-0000-0100-000004000000}">
    <filterColumn colId="0">
      <filters>
        <filter val="REM1"/>
      </filters>
    </filterColumn>
  </autoFilter>
  <tableColumns count="1">
    <tableColumn id="1" xr3:uid="{00000000-0010-0000-0300-000001000000}" name="Session"/>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68"/>
  <sheetViews>
    <sheetView showGridLines="0" tabSelected="1" workbookViewId="0">
      <pane xSplit="10" ySplit="6" topLeftCell="K17" activePane="bottomRight" state="frozen"/>
      <selection pane="topRight" activeCell="K1" sqref="K1"/>
      <selection pane="bottomLeft" activeCell="A7" sqref="A7"/>
      <selection pane="bottomRight" activeCell="Q37" sqref="Q37"/>
    </sheetView>
  </sheetViews>
  <sheetFormatPr baseColWidth="10" defaultColWidth="12.6640625" defaultRowHeight="15.75" customHeight="1" x14ac:dyDescent="0.15"/>
  <cols>
    <col min="1" max="1" width="10.5" customWidth="1"/>
    <col min="2" max="2" width="17.33203125" customWidth="1"/>
    <col min="3" max="3" width="14.33203125" customWidth="1"/>
    <col min="4" max="4" width="6.83203125" customWidth="1"/>
    <col min="5" max="8" width="4.1640625" customWidth="1"/>
    <col min="9" max="9" width="5.6640625" customWidth="1"/>
    <col min="10" max="10" width="7.5" customWidth="1"/>
    <col min="11" max="11" width="10.6640625" customWidth="1"/>
    <col min="12" max="12" width="8.6640625" customWidth="1"/>
    <col min="13" max="14" width="10.6640625" customWidth="1"/>
    <col min="15" max="15" width="8.6640625" customWidth="1"/>
    <col min="16" max="17" width="10.6640625" customWidth="1"/>
    <col min="18" max="18" width="8.83203125" customWidth="1"/>
    <col min="19" max="19" width="10.6640625" customWidth="1"/>
    <col min="21" max="21" width="9.1640625" customWidth="1"/>
    <col min="24" max="24" width="9.6640625" customWidth="1"/>
    <col min="27" max="27" width="9.6640625" customWidth="1"/>
    <col min="30" max="30" width="10.1640625" customWidth="1"/>
    <col min="33" max="33" width="10.6640625" customWidth="1"/>
    <col min="36" max="36" width="10.33203125" customWidth="1"/>
    <col min="39" max="39" width="10.33203125" customWidth="1"/>
  </cols>
  <sheetData>
    <row r="1" spans="1:43" ht="22.5" customHeight="1" x14ac:dyDescent="0.15"/>
    <row r="2" spans="1:43" ht="16" x14ac:dyDescent="0.2">
      <c r="A2" s="1" t="s">
        <v>0</v>
      </c>
      <c r="C2" s="2">
        <v>728</v>
      </c>
    </row>
    <row r="5" spans="1:43" ht="13" x14ac:dyDescent="0.15">
      <c r="A5" s="3"/>
      <c r="B5" s="4"/>
      <c r="C5" s="3"/>
      <c r="D5" s="5"/>
      <c r="E5" s="74" t="s">
        <v>1</v>
      </c>
      <c r="F5" s="72"/>
      <c r="G5" s="72"/>
      <c r="H5" s="73"/>
      <c r="I5" s="75" t="s">
        <v>2</v>
      </c>
      <c r="J5" s="77" t="s">
        <v>3</v>
      </c>
      <c r="K5" s="74" t="s">
        <v>4</v>
      </c>
      <c r="L5" s="72"/>
      <c r="M5" s="73"/>
      <c r="N5" s="71" t="s">
        <v>5</v>
      </c>
      <c r="O5" s="72"/>
      <c r="P5" s="73"/>
      <c r="Q5" s="71" t="s">
        <v>6</v>
      </c>
      <c r="R5" s="72"/>
      <c r="S5" s="73"/>
      <c r="T5" s="71" t="s">
        <v>7</v>
      </c>
      <c r="U5" s="72"/>
      <c r="V5" s="73"/>
      <c r="W5" s="71" t="s">
        <v>8</v>
      </c>
      <c r="X5" s="72"/>
      <c r="Y5" s="73"/>
      <c r="Z5" s="71" t="s">
        <v>9</v>
      </c>
      <c r="AA5" s="72"/>
      <c r="AB5" s="73"/>
      <c r="AC5" s="71" t="s">
        <v>10</v>
      </c>
      <c r="AD5" s="72"/>
      <c r="AE5" s="73"/>
      <c r="AF5" s="71" t="s">
        <v>11</v>
      </c>
      <c r="AG5" s="72"/>
      <c r="AH5" s="73"/>
      <c r="AI5" s="71" t="s">
        <v>12</v>
      </c>
      <c r="AJ5" s="72"/>
      <c r="AK5" s="73"/>
      <c r="AL5" s="71" t="s">
        <v>13</v>
      </c>
      <c r="AM5" s="72"/>
      <c r="AN5" s="73"/>
      <c r="AO5" s="6"/>
      <c r="AP5" s="6"/>
      <c r="AQ5" s="6"/>
    </row>
    <row r="6" spans="1:43" ht="13" x14ac:dyDescent="0.15">
      <c r="A6" s="7" t="s">
        <v>14</v>
      </c>
      <c r="B6" s="8" t="s">
        <v>15</v>
      </c>
      <c r="C6" s="7" t="s">
        <v>16</v>
      </c>
      <c r="D6" s="9" t="s">
        <v>17</v>
      </c>
      <c r="E6" s="10" t="s">
        <v>18</v>
      </c>
      <c r="F6" s="11" t="s">
        <v>19</v>
      </c>
      <c r="G6" s="11" t="s">
        <v>20</v>
      </c>
      <c r="H6" s="12" t="s">
        <v>21</v>
      </c>
      <c r="I6" s="76"/>
      <c r="J6" s="76"/>
      <c r="K6" s="13" t="s">
        <v>22</v>
      </c>
      <c r="L6" s="14" t="s">
        <v>23</v>
      </c>
      <c r="M6" s="15" t="s">
        <v>24</v>
      </c>
      <c r="N6" s="16" t="s">
        <v>22</v>
      </c>
      <c r="O6" s="14" t="s">
        <v>23</v>
      </c>
      <c r="P6" s="15" t="s">
        <v>24</v>
      </c>
      <c r="Q6" s="16" t="s">
        <v>22</v>
      </c>
      <c r="R6" s="14" t="s">
        <v>23</v>
      </c>
      <c r="S6" s="17" t="s">
        <v>25</v>
      </c>
      <c r="T6" s="16" t="s">
        <v>22</v>
      </c>
      <c r="U6" s="14" t="s">
        <v>23</v>
      </c>
      <c r="V6" s="17" t="s">
        <v>25</v>
      </c>
      <c r="W6" s="16" t="s">
        <v>22</v>
      </c>
      <c r="X6" s="14" t="s">
        <v>23</v>
      </c>
      <c r="Y6" s="18" t="s">
        <v>26</v>
      </c>
      <c r="Z6" s="16" t="s">
        <v>22</v>
      </c>
      <c r="AA6" s="14" t="s">
        <v>23</v>
      </c>
      <c r="AB6" s="18" t="s">
        <v>26</v>
      </c>
      <c r="AC6" s="16" t="s">
        <v>22</v>
      </c>
      <c r="AD6" s="14" t="s">
        <v>23</v>
      </c>
      <c r="AE6" s="18" t="s">
        <v>26</v>
      </c>
      <c r="AF6" s="16" t="s">
        <v>22</v>
      </c>
      <c r="AG6" s="14" t="s">
        <v>23</v>
      </c>
      <c r="AH6" s="19" t="s">
        <v>27</v>
      </c>
      <c r="AI6" s="16" t="s">
        <v>22</v>
      </c>
      <c r="AJ6" s="14" t="s">
        <v>23</v>
      </c>
      <c r="AK6" s="19" t="s">
        <v>27</v>
      </c>
      <c r="AL6" s="16" t="s">
        <v>22</v>
      </c>
      <c r="AM6" s="14" t="s">
        <v>23</v>
      </c>
      <c r="AN6" s="19" t="s">
        <v>27</v>
      </c>
      <c r="AO6" s="20"/>
      <c r="AP6" s="20"/>
      <c r="AQ6" s="20"/>
    </row>
    <row r="7" spans="1:43" ht="13" hidden="1" x14ac:dyDescent="0.15">
      <c r="A7" s="21"/>
      <c r="B7" s="22"/>
      <c r="C7" s="22"/>
      <c r="D7" s="23"/>
      <c r="E7" s="24">
        <f t="shared" ref="E7:E68" si="0">COUNTIF(L7:AM7,"AJ")</f>
        <v>0</v>
      </c>
      <c r="F7" s="25">
        <f t="shared" ref="F7:F68" si="1">COUNTIF(L7:AN7,"AI")</f>
        <v>0</v>
      </c>
      <c r="G7" s="25">
        <f t="shared" ref="G7:G68" si="2">COUNTIF(L7:AO7,"AM")</f>
        <v>0</v>
      </c>
      <c r="H7" s="26">
        <f t="shared" ref="H7:H68" si="3">COUNTIF(O7:AP7,"Ent")</f>
        <v>0</v>
      </c>
      <c r="I7" s="27">
        <f>SUM(E7:H7)*7</f>
        <v>0</v>
      </c>
      <c r="J7" s="28">
        <f t="shared" ref="J7:J68" si="4">I7/$C$2</f>
        <v>0</v>
      </c>
      <c r="K7" s="29"/>
      <c r="L7" s="30"/>
      <c r="M7" s="31" t="b">
        <v>0</v>
      </c>
      <c r="N7" s="32"/>
      <c r="O7" s="30"/>
      <c r="P7" s="31" t="b">
        <v>0</v>
      </c>
      <c r="Q7" s="32"/>
      <c r="R7" s="30"/>
      <c r="S7" s="31" t="b">
        <v>0</v>
      </c>
      <c r="T7" s="32"/>
      <c r="U7" s="30"/>
      <c r="V7" s="31" t="b">
        <v>0</v>
      </c>
      <c r="W7" s="32"/>
      <c r="X7" s="30"/>
      <c r="Y7" s="31" t="b">
        <v>0</v>
      </c>
      <c r="Z7" s="32"/>
      <c r="AA7" s="30"/>
      <c r="AB7" s="31" t="b">
        <v>0</v>
      </c>
      <c r="AC7" s="32"/>
      <c r="AD7" s="30"/>
      <c r="AE7" s="31" t="b">
        <v>0</v>
      </c>
      <c r="AF7" s="32"/>
      <c r="AG7" s="30"/>
      <c r="AH7" s="31" t="b">
        <v>0</v>
      </c>
      <c r="AI7" s="32"/>
      <c r="AJ7" s="30"/>
      <c r="AK7" s="31" t="b">
        <v>0</v>
      </c>
      <c r="AL7" s="32"/>
      <c r="AM7" s="30"/>
      <c r="AN7" s="33" t="b">
        <v>0</v>
      </c>
      <c r="AO7" s="20"/>
      <c r="AP7" s="20"/>
      <c r="AQ7" s="20"/>
    </row>
    <row r="8" spans="1:43" ht="13" hidden="1" x14ac:dyDescent="0.15">
      <c r="A8" s="21"/>
      <c r="B8" s="34"/>
      <c r="C8" s="34"/>
      <c r="D8" s="35"/>
      <c r="E8" s="36">
        <f t="shared" si="0"/>
        <v>0</v>
      </c>
      <c r="F8" s="37">
        <f t="shared" si="1"/>
        <v>0</v>
      </c>
      <c r="G8" s="37">
        <f t="shared" si="2"/>
        <v>0</v>
      </c>
      <c r="H8" s="38">
        <f t="shared" si="3"/>
        <v>0</v>
      </c>
      <c r="I8" s="39">
        <f t="shared" ref="I8:I16" si="5">SUM(E8:H8)</f>
        <v>0</v>
      </c>
      <c r="J8" s="40">
        <f t="shared" si="4"/>
        <v>0</v>
      </c>
      <c r="K8" s="41"/>
      <c r="L8" s="30"/>
      <c r="M8" s="42" t="b">
        <v>0</v>
      </c>
      <c r="N8" s="43"/>
      <c r="O8" s="30"/>
      <c r="P8" s="42" t="b">
        <v>0</v>
      </c>
      <c r="Q8" s="43"/>
      <c r="R8" s="30"/>
      <c r="S8" s="42" t="b">
        <v>0</v>
      </c>
      <c r="T8" s="43"/>
      <c r="U8" s="30"/>
      <c r="V8" s="42" t="b">
        <v>0</v>
      </c>
      <c r="W8" s="43"/>
      <c r="X8" s="30"/>
      <c r="Y8" s="42" t="b">
        <v>0</v>
      </c>
      <c r="Z8" s="43"/>
      <c r="AA8" s="30"/>
      <c r="AB8" s="42" t="b">
        <v>0</v>
      </c>
      <c r="AC8" s="43"/>
      <c r="AD8" s="30"/>
      <c r="AE8" s="42" t="b">
        <v>0</v>
      </c>
      <c r="AF8" s="43"/>
      <c r="AG8" s="30"/>
      <c r="AH8" s="42" t="b">
        <v>0</v>
      </c>
      <c r="AI8" s="43"/>
      <c r="AJ8" s="30"/>
      <c r="AK8" s="42" t="b">
        <v>0</v>
      </c>
      <c r="AL8" s="43"/>
      <c r="AM8" s="30"/>
      <c r="AN8" s="44" t="b">
        <v>0</v>
      </c>
      <c r="AO8" s="20"/>
      <c r="AP8" s="20"/>
      <c r="AQ8" s="20"/>
    </row>
    <row r="9" spans="1:43" ht="13" hidden="1" x14ac:dyDescent="0.15">
      <c r="A9" s="21"/>
      <c r="B9" s="34"/>
      <c r="C9" s="34"/>
      <c r="D9" s="35"/>
      <c r="E9" s="36">
        <f t="shared" si="0"/>
        <v>0</v>
      </c>
      <c r="F9" s="37">
        <f t="shared" si="1"/>
        <v>0</v>
      </c>
      <c r="G9" s="37">
        <f t="shared" si="2"/>
        <v>0</v>
      </c>
      <c r="H9" s="38">
        <f t="shared" si="3"/>
        <v>0</v>
      </c>
      <c r="I9" s="39">
        <f t="shared" si="5"/>
        <v>0</v>
      </c>
      <c r="J9" s="40">
        <f t="shared" si="4"/>
        <v>0</v>
      </c>
      <c r="K9" s="41"/>
      <c r="L9" s="30"/>
      <c r="M9" s="42" t="b">
        <v>0</v>
      </c>
      <c r="N9" s="43"/>
      <c r="O9" s="30"/>
      <c r="P9" s="42" t="b">
        <v>0</v>
      </c>
      <c r="Q9" s="43"/>
      <c r="R9" s="30"/>
      <c r="S9" s="42" t="b">
        <v>0</v>
      </c>
      <c r="T9" s="43"/>
      <c r="U9" s="30"/>
      <c r="V9" s="42" t="b">
        <v>0</v>
      </c>
      <c r="W9" s="43"/>
      <c r="X9" s="30"/>
      <c r="Y9" s="42" t="b">
        <v>0</v>
      </c>
      <c r="Z9" s="43"/>
      <c r="AA9" s="30"/>
      <c r="AB9" s="42" t="b">
        <v>0</v>
      </c>
      <c r="AC9" s="43"/>
      <c r="AD9" s="30"/>
      <c r="AE9" s="42" t="b">
        <v>0</v>
      </c>
      <c r="AF9" s="43"/>
      <c r="AG9" s="30"/>
      <c r="AH9" s="42" t="b">
        <v>0</v>
      </c>
      <c r="AI9" s="43"/>
      <c r="AJ9" s="30"/>
      <c r="AK9" s="42" t="b">
        <v>0</v>
      </c>
      <c r="AL9" s="43"/>
      <c r="AM9" s="30"/>
      <c r="AN9" s="44" t="b">
        <v>0</v>
      </c>
      <c r="AO9" s="20"/>
      <c r="AP9" s="20"/>
      <c r="AQ9" s="20"/>
    </row>
    <row r="10" spans="1:43" ht="13" hidden="1" x14ac:dyDescent="0.15">
      <c r="A10" s="21"/>
      <c r="B10" s="34"/>
      <c r="C10" s="34"/>
      <c r="D10" s="35"/>
      <c r="E10" s="36">
        <f t="shared" si="0"/>
        <v>0</v>
      </c>
      <c r="F10" s="37">
        <f t="shared" si="1"/>
        <v>0</v>
      </c>
      <c r="G10" s="37">
        <f t="shared" si="2"/>
        <v>0</v>
      </c>
      <c r="H10" s="38">
        <f t="shared" si="3"/>
        <v>0</v>
      </c>
      <c r="I10" s="39">
        <f t="shared" si="5"/>
        <v>0</v>
      </c>
      <c r="J10" s="40">
        <f t="shared" si="4"/>
        <v>0</v>
      </c>
      <c r="K10" s="41"/>
      <c r="L10" s="30"/>
      <c r="M10" s="42" t="b">
        <v>0</v>
      </c>
      <c r="N10" s="43"/>
      <c r="O10" s="30"/>
      <c r="P10" s="42" t="b">
        <v>0</v>
      </c>
      <c r="Q10" s="43"/>
      <c r="R10" s="30"/>
      <c r="S10" s="42" t="b">
        <v>0</v>
      </c>
      <c r="T10" s="43"/>
      <c r="U10" s="30"/>
      <c r="V10" s="42" t="b">
        <v>0</v>
      </c>
      <c r="W10" s="43"/>
      <c r="X10" s="30"/>
      <c r="Y10" s="42" t="b">
        <v>0</v>
      </c>
      <c r="Z10" s="43"/>
      <c r="AA10" s="30"/>
      <c r="AB10" s="42" t="b">
        <v>0</v>
      </c>
      <c r="AC10" s="43"/>
      <c r="AD10" s="30"/>
      <c r="AE10" s="42" t="b">
        <v>0</v>
      </c>
      <c r="AF10" s="43"/>
      <c r="AG10" s="30"/>
      <c r="AH10" s="42" t="b">
        <v>0</v>
      </c>
      <c r="AI10" s="43"/>
      <c r="AJ10" s="30"/>
      <c r="AK10" s="42" t="b">
        <v>0</v>
      </c>
      <c r="AL10" s="43"/>
      <c r="AM10" s="30"/>
      <c r="AN10" s="44" t="b">
        <v>0</v>
      </c>
      <c r="AO10" s="20"/>
      <c r="AP10" s="20"/>
      <c r="AQ10" s="20"/>
    </row>
    <row r="11" spans="1:43" ht="13" hidden="1" x14ac:dyDescent="0.15">
      <c r="A11" s="21"/>
      <c r="B11" s="34"/>
      <c r="C11" s="34"/>
      <c r="D11" s="35"/>
      <c r="E11" s="36">
        <f t="shared" si="0"/>
        <v>0</v>
      </c>
      <c r="F11" s="37">
        <f t="shared" si="1"/>
        <v>0</v>
      </c>
      <c r="G11" s="37">
        <f t="shared" si="2"/>
        <v>0</v>
      </c>
      <c r="H11" s="38">
        <f t="shared" si="3"/>
        <v>0</v>
      </c>
      <c r="I11" s="39">
        <f t="shared" si="5"/>
        <v>0</v>
      </c>
      <c r="J11" s="40">
        <f t="shared" si="4"/>
        <v>0</v>
      </c>
      <c r="K11" s="41"/>
      <c r="L11" s="30"/>
      <c r="M11" s="42" t="b">
        <v>0</v>
      </c>
      <c r="N11" s="43"/>
      <c r="O11" s="30"/>
      <c r="P11" s="42" t="b">
        <v>0</v>
      </c>
      <c r="Q11" s="43"/>
      <c r="R11" s="30"/>
      <c r="S11" s="42" t="b">
        <v>0</v>
      </c>
      <c r="T11" s="43"/>
      <c r="U11" s="30"/>
      <c r="V11" s="42" t="b">
        <v>0</v>
      </c>
      <c r="W11" s="43"/>
      <c r="X11" s="30"/>
      <c r="Y11" s="42" t="b">
        <v>0</v>
      </c>
      <c r="Z11" s="43"/>
      <c r="AA11" s="30"/>
      <c r="AB11" s="42" t="b">
        <v>0</v>
      </c>
      <c r="AC11" s="43"/>
      <c r="AD11" s="30"/>
      <c r="AE11" s="42" t="b">
        <v>0</v>
      </c>
      <c r="AF11" s="43"/>
      <c r="AG11" s="30"/>
      <c r="AH11" s="42" t="b">
        <v>0</v>
      </c>
      <c r="AI11" s="43"/>
      <c r="AJ11" s="30"/>
      <c r="AK11" s="42" t="b">
        <v>0</v>
      </c>
      <c r="AL11" s="43"/>
      <c r="AM11" s="30"/>
      <c r="AN11" s="44" t="b">
        <v>0</v>
      </c>
      <c r="AO11" s="20"/>
      <c r="AP11" s="20"/>
      <c r="AQ11" s="20"/>
    </row>
    <row r="12" spans="1:43" ht="13" hidden="1" x14ac:dyDescent="0.15">
      <c r="A12" s="21"/>
      <c r="B12" s="34"/>
      <c r="C12" s="34"/>
      <c r="D12" s="35"/>
      <c r="E12" s="36">
        <f t="shared" si="0"/>
        <v>0</v>
      </c>
      <c r="F12" s="37">
        <f t="shared" si="1"/>
        <v>0</v>
      </c>
      <c r="G12" s="37">
        <f t="shared" si="2"/>
        <v>0</v>
      </c>
      <c r="H12" s="38">
        <f t="shared" si="3"/>
        <v>0</v>
      </c>
      <c r="I12" s="39">
        <f t="shared" si="5"/>
        <v>0</v>
      </c>
      <c r="J12" s="40">
        <f t="shared" si="4"/>
        <v>0</v>
      </c>
      <c r="K12" s="41"/>
      <c r="L12" s="30"/>
      <c r="M12" s="42" t="b">
        <v>0</v>
      </c>
      <c r="N12" s="43"/>
      <c r="O12" s="30"/>
      <c r="P12" s="42" t="b">
        <v>0</v>
      </c>
      <c r="Q12" s="43"/>
      <c r="R12" s="30"/>
      <c r="S12" s="42" t="b">
        <v>0</v>
      </c>
      <c r="T12" s="43"/>
      <c r="U12" s="30"/>
      <c r="V12" s="42" t="b">
        <v>0</v>
      </c>
      <c r="W12" s="43"/>
      <c r="X12" s="30"/>
      <c r="Y12" s="42" t="b">
        <v>0</v>
      </c>
      <c r="Z12" s="43"/>
      <c r="AA12" s="30"/>
      <c r="AB12" s="42" t="b">
        <v>0</v>
      </c>
      <c r="AC12" s="43"/>
      <c r="AD12" s="30"/>
      <c r="AE12" s="42" t="b">
        <v>0</v>
      </c>
      <c r="AF12" s="43"/>
      <c r="AG12" s="30"/>
      <c r="AH12" s="42" t="b">
        <v>0</v>
      </c>
      <c r="AI12" s="43"/>
      <c r="AJ12" s="30"/>
      <c r="AK12" s="42" t="b">
        <v>0</v>
      </c>
      <c r="AL12" s="43"/>
      <c r="AM12" s="30"/>
      <c r="AN12" s="44" t="b">
        <v>0</v>
      </c>
      <c r="AO12" s="20"/>
      <c r="AP12" s="20"/>
      <c r="AQ12" s="20"/>
    </row>
    <row r="13" spans="1:43" ht="13" hidden="1" x14ac:dyDescent="0.15">
      <c r="A13" s="21"/>
      <c r="B13" s="34"/>
      <c r="C13" s="34"/>
      <c r="D13" s="35"/>
      <c r="E13" s="36">
        <f t="shared" si="0"/>
        <v>0</v>
      </c>
      <c r="F13" s="37">
        <f t="shared" si="1"/>
        <v>0</v>
      </c>
      <c r="G13" s="37">
        <f t="shared" si="2"/>
        <v>0</v>
      </c>
      <c r="H13" s="38">
        <f t="shared" si="3"/>
        <v>0</v>
      </c>
      <c r="I13" s="39">
        <f t="shared" si="5"/>
        <v>0</v>
      </c>
      <c r="J13" s="40">
        <f t="shared" si="4"/>
        <v>0</v>
      </c>
      <c r="K13" s="41"/>
      <c r="L13" s="30"/>
      <c r="M13" s="42" t="b">
        <v>0</v>
      </c>
      <c r="N13" s="43"/>
      <c r="O13" s="30"/>
      <c r="P13" s="42" t="b">
        <v>0</v>
      </c>
      <c r="Q13" s="43"/>
      <c r="R13" s="30"/>
      <c r="S13" s="42" t="b">
        <v>0</v>
      </c>
      <c r="T13" s="43"/>
      <c r="U13" s="30"/>
      <c r="V13" s="42" t="b">
        <v>0</v>
      </c>
      <c r="W13" s="43"/>
      <c r="X13" s="30"/>
      <c r="Y13" s="42" t="b">
        <v>0</v>
      </c>
      <c r="Z13" s="43"/>
      <c r="AA13" s="30"/>
      <c r="AB13" s="42" t="b">
        <v>0</v>
      </c>
      <c r="AC13" s="43"/>
      <c r="AD13" s="30"/>
      <c r="AE13" s="42" t="b">
        <v>0</v>
      </c>
      <c r="AF13" s="43"/>
      <c r="AG13" s="30"/>
      <c r="AH13" s="42" t="b">
        <v>0</v>
      </c>
      <c r="AI13" s="43"/>
      <c r="AJ13" s="30"/>
      <c r="AK13" s="42" t="b">
        <v>0</v>
      </c>
      <c r="AL13" s="43"/>
      <c r="AM13" s="30"/>
      <c r="AN13" s="44" t="b">
        <v>0</v>
      </c>
      <c r="AO13" s="20"/>
      <c r="AP13" s="20"/>
      <c r="AQ13" s="20"/>
    </row>
    <row r="14" spans="1:43" ht="13" hidden="1" x14ac:dyDescent="0.15">
      <c r="A14" s="21"/>
      <c r="B14" s="34"/>
      <c r="C14" s="34"/>
      <c r="D14" s="35"/>
      <c r="E14" s="36">
        <f t="shared" si="0"/>
        <v>0</v>
      </c>
      <c r="F14" s="37">
        <f t="shared" si="1"/>
        <v>0</v>
      </c>
      <c r="G14" s="37">
        <f t="shared" si="2"/>
        <v>0</v>
      </c>
      <c r="H14" s="38">
        <f t="shared" si="3"/>
        <v>0</v>
      </c>
      <c r="I14" s="39">
        <f t="shared" si="5"/>
        <v>0</v>
      </c>
      <c r="J14" s="40">
        <f t="shared" si="4"/>
        <v>0</v>
      </c>
      <c r="K14" s="41"/>
      <c r="L14" s="30"/>
      <c r="M14" s="42" t="b">
        <v>0</v>
      </c>
      <c r="N14" s="43"/>
      <c r="O14" s="30"/>
      <c r="P14" s="42" t="b">
        <v>0</v>
      </c>
      <c r="Q14" s="43"/>
      <c r="R14" s="30"/>
      <c r="S14" s="42" t="b">
        <v>0</v>
      </c>
      <c r="T14" s="43"/>
      <c r="U14" s="30"/>
      <c r="V14" s="42" t="b">
        <v>0</v>
      </c>
      <c r="W14" s="43"/>
      <c r="X14" s="30"/>
      <c r="Y14" s="42" t="b">
        <v>0</v>
      </c>
      <c r="Z14" s="43"/>
      <c r="AA14" s="30"/>
      <c r="AB14" s="42" t="b">
        <v>0</v>
      </c>
      <c r="AC14" s="43"/>
      <c r="AD14" s="30"/>
      <c r="AE14" s="42" t="b">
        <v>0</v>
      </c>
      <c r="AF14" s="43"/>
      <c r="AG14" s="30"/>
      <c r="AH14" s="42" t="b">
        <v>0</v>
      </c>
      <c r="AI14" s="43"/>
      <c r="AJ14" s="30"/>
      <c r="AK14" s="42" t="b">
        <v>0</v>
      </c>
      <c r="AL14" s="43"/>
      <c r="AM14" s="30"/>
      <c r="AN14" s="44" t="b">
        <v>0</v>
      </c>
      <c r="AO14" s="20"/>
      <c r="AP14" s="20"/>
      <c r="AQ14" s="20"/>
    </row>
    <row r="15" spans="1:43" ht="13" hidden="1" x14ac:dyDescent="0.15">
      <c r="A15" s="21"/>
      <c r="B15" s="34"/>
      <c r="C15" s="34"/>
      <c r="D15" s="35"/>
      <c r="E15" s="36">
        <f t="shared" si="0"/>
        <v>0</v>
      </c>
      <c r="F15" s="37">
        <f t="shared" si="1"/>
        <v>0</v>
      </c>
      <c r="G15" s="37">
        <f t="shared" si="2"/>
        <v>0</v>
      </c>
      <c r="H15" s="38">
        <f t="shared" si="3"/>
        <v>0</v>
      </c>
      <c r="I15" s="39">
        <f t="shared" si="5"/>
        <v>0</v>
      </c>
      <c r="J15" s="40">
        <f t="shared" si="4"/>
        <v>0</v>
      </c>
      <c r="K15" s="41"/>
      <c r="L15" s="30"/>
      <c r="M15" s="42" t="b">
        <v>0</v>
      </c>
      <c r="N15" s="43"/>
      <c r="O15" s="30"/>
      <c r="P15" s="42" t="b">
        <v>0</v>
      </c>
      <c r="Q15" s="43"/>
      <c r="R15" s="30"/>
      <c r="S15" s="42" t="b">
        <v>0</v>
      </c>
      <c r="T15" s="43"/>
      <c r="U15" s="30"/>
      <c r="V15" s="42" t="b">
        <v>0</v>
      </c>
      <c r="W15" s="43"/>
      <c r="X15" s="30"/>
      <c r="Y15" s="42" t="b">
        <v>0</v>
      </c>
      <c r="Z15" s="43"/>
      <c r="AA15" s="30"/>
      <c r="AB15" s="42" t="b">
        <v>0</v>
      </c>
      <c r="AC15" s="43"/>
      <c r="AD15" s="30"/>
      <c r="AE15" s="42" t="b">
        <v>0</v>
      </c>
      <c r="AF15" s="43"/>
      <c r="AG15" s="30"/>
      <c r="AH15" s="42" t="b">
        <v>0</v>
      </c>
      <c r="AI15" s="43"/>
      <c r="AJ15" s="30"/>
      <c r="AK15" s="42" t="b">
        <v>0</v>
      </c>
      <c r="AL15" s="43"/>
      <c r="AM15" s="30"/>
      <c r="AN15" s="44" t="b">
        <v>0</v>
      </c>
      <c r="AO15" s="20"/>
      <c r="AP15" s="20"/>
      <c r="AQ15" s="20"/>
    </row>
    <row r="16" spans="1:43" ht="13" hidden="1" x14ac:dyDescent="0.15">
      <c r="A16" s="21"/>
      <c r="B16" s="34"/>
      <c r="C16" s="34"/>
      <c r="D16" s="35"/>
      <c r="E16" s="36">
        <f t="shared" si="0"/>
        <v>0</v>
      </c>
      <c r="F16" s="37">
        <f t="shared" si="1"/>
        <v>0</v>
      </c>
      <c r="G16" s="37">
        <f t="shared" si="2"/>
        <v>0</v>
      </c>
      <c r="H16" s="38">
        <f t="shared" si="3"/>
        <v>0</v>
      </c>
      <c r="I16" s="39">
        <f t="shared" si="5"/>
        <v>0</v>
      </c>
      <c r="J16" s="40">
        <f t="shared" si="4"/>
        <v>0</v>
      </c>
      <c r="K16" s="41"/>
      <c r="L16" s="30"/>
      <c r="M16" s="42" t="b">
        <v>0</v>
      </c>
      <c r="N16" s="43"/>
      <c r="O16" s="30"/>
      <c r="P16" s="42" t="b">
        <v>0</v>
      </c>
      <c r="Q16" s="43"/>
      <c r="R16" s="30"/>
      <c r="S16" s="42" t="b">
        <v>0</v>
      </c>
      <c r="T16" s="43"/>
      <c r="U16" s="30"/>
      <c r="V16" s="42" t="b">
        <v>0</v>
      </c>
      <c r="W16" s="43"/>
      <c r="X16" s="30"/>
      <c r="Y16" s="42" t="b">
        <v>0</v>
      </c>
      <c r="Z16" s="43"/>
      <c r="AA16" s="30"/>
      <c r="AB16" s="42" t="b">
        <v>0</v>
      </c>
      <c r="AC16" s="43"/>
      <c r="AD16" s="30"/>
      <c r="AE16" s="42" t="b">
        <v>0</v>
      </c>
      <c r="AF16" s="43"/>
      <c r="AG16" s="30"/>
      <c r="AH16" s="42" t="b">
        <v>0</v>
      </c>
      <c r="AI16" s="43"/>
      <c r="AJ16" s="30"/>
      <c r="AK16" s="42" t="b">
        <v>0</v>
      </c>
      <c r="AL16" s="43"/>
      <c r="AM16" s="30"/>
      <c r="AN16" s="44" t="b">
        <v>0</v>
      </c>
      <c r="AO16" s="20"/>
      <c r="AP16" s="20"/>
      <c r="AQ16" s="20"/>
    </row>
    <row r="17" spans="1:43" ht="13" x14ac:dyDescent="0.15">
      <c r="A17" s="21" t="s">
        <v>28</v>
      </c>
      <c r="B17" s="34" t="s">
        <v>29</v>
      </c>
      <c r="C17" s="34" t="s">
        <v>30</v>
      </c>
      <c r="D17" s="45" t="s">
        <v>299</v>
      </c>
      <c r="E17" s="36">
        <f t="shared" si="0"/>
        <v>0</v>
      </c>
      <c r="F17" s="37">
        <f t="shared" si="1"/>
        <v>0</v>
      </c>
      <c r="G17" s="37">
        <f t="shared" si="2"/>
        <v>1</v>
      </c>
      <c r="H17" s="38">
        <f t="shared" si="3"/>
        <v>1</v>
      </c>
      <c r="I17" s="39">
        <f t="shared" ref="I17:I68" si="6">SUM(E17:H17)*7</f>
        <v>14</v>
      </c>
      <c r="J17" s="40">
        <f t="shared" si="4"/>
        <v>1.9230769230769232E-2</v>
      </c>
      <c r="K17" s="46">
        <v>46041</v>
      </c>
      <c r="L17" s="30" t="s">
        <v>21</v>
      </c>
      <c r="M17" s="42" t="b">
        <v>0</v>
      </c>
      <c r="N17" s="47">
        <v>46062</v>
      </c>
      <c r="O17" s="30" t="s">
        <v>20</v>
      </c>
      <c r="P17" s="42" t="b">
        <v>1</v>
      </c>
      <c r="Q17" s="43" t="s">
        <v>31</v>
      </c>
      <c r="R17" s="30" t="s">
        <v>21</v>
      </c>
      <c r="S17" s="42" t="b">
        <v>1</v>
      </c>
      <c r="T17" s="43"/>
      <c r="U17" s="30"/>
      <c r="V17" s="42" t="b">
        <v>0</v>
      </c>
      <c r="W17" s="43"/>
      <c r="X17" s="30"/>
      <c r="Y17" s="42" t="b">
        <v>0</v>
      </c>
      <c r="Z17" s="43"/>
      <c r="AA17" s="30"/>
      <c r="AB17" s="42" t="b">
        <v>0</v>
      </c>
      <c r="AC17" s="43"/>
      <c r="AD17" s="30"/>
      <c r="AE17" s="42" t="b">
        <v>0</v>
      </c>
      <c r="AF17" s="43"/>
      <c r="AG17" s="30"/>
      <c r="AH17" s="42" t="b">
        <v>0</v>
      </c>
      <c r="AI17" s="43"/>
      <c r="AJ17" s="30"/>
      <c r="AK17" s="42" t="b">
        <v>0</v>
      </c>
      <c r="AL17" s="43"/>
      <c r="AM17" s="30"/>
      <c r="AN17" s="48" t="b">
        <v>0</v>
      </c>
      <c r="AO17" s="20"/>
      <c r="AP17" s="20"/>
      <c r="AQ17" s="20"/>
    </row>
    <row r="18" spans="1:43" ht="13" x14ac:dyDescent="0.15">
      <c r="A18" s="21" t="s">
        <v>28</v>
      </c>
      <c r="B18" s="34" t="s">
        <v>32</v>
      </c>
      <c r="C18" s="34" t="s">
        <v>33</v>
      </c>
      <c r="D18" s="45" t="s">
        <v>300</v>
      </c>
      <c r="E18" s="36">
        <f t="shared" si="0"/>
        <v>0</v>
      </c>
      <c r="F18" s="37">
        <f t="shared" si="1"/>
        <v>0</v>
      </c>
      <c r="G18" s="37">
        <f t="shared" si="2"/>
        <v>0</v>
      </c>
      <c r="H18" s="38">
        <f t="shared" si="3"/>
        <v>2</v>
      </c>
      <c r="I18" s="39">
        <f t="shared" si="6"/>
        <v>14</v>
      </c>
      <c r="J18" s="40">
        <f t="shared" si="4"/>
        <v>1.9230769230769232E-2</v>
      </c>
      <c r="K18" s="46">
        <v>46048</v>
      </c>
      <c r="L18" s="30" t="s">
        <v>34</v>
      </c>
      <c r="M18" s="42" t="b">
        <v>0</v>
      </c>
      <c r="N18" s="47">
        <v>46117</v>
      </c>
      <c r="O18" s="30" t="s">
        <v>21</v>
      </c>
      <c r="P18" s="42" t="b">
        <v>1</v>
      </c>
      <c r="Q18" s="47">
        <v>46153</v>
      </c>
      <c r="R18" s="30" t="s">
        <v>21</v>
      </c>
      <c r="S18" s="42" t="b">
        <v>1</v>
      </c>
      <c r="T18" s="43"/>
      <c r="U18" s="30"/>
      <c r="V18" s="42" t="b">
        <v>0</v>
      </c>
      <c r="W18" s="43"/>
      <c r="X18" s="30"/>
      <c r="Y18" s="42" t="b">
        <v>0</v>
      </c>
      <c r="Z18" s="43"/>
      <c r="AA18" s="30"/>
      <c r="AB18" s="42" t="b">
        <v>0</v>
      </c>
      <c r="AC18" s="43"/>
      <c r="AD18" s="30"/>
      <c r="AE18" s="42" t="b">
        <v>0</v>
      </c>
      <c r="AF18" s="43"/>
      <c r="AG18" s="30"/>
      <c r="AH18" s="42" t="b">
        <v>0</v>
      </c>
      <c r="AI18" s="43"/>
      <c r="AJ18" s="30"/>
      <c r="AK18" s="42" t="b">
        <v>0</v>
      </c>
      <c r="AL18" s="43"/>
      <c r="AM18" s="30"/>
      <c r="AN18" s="48" t="b">
        <v>0</v>
      </c>
    </row>
    <row r="19" spans="1:43" ht="13" x14ac:dyDescent="0.15">
      <c r="A19" s="21" t="s">
        <v>28</v>
      </c>
      <c r="B19" s="34" t="s">
        <v>35</v>
      </c>
      <c r="C19" s="34" t="s">
        <v>36</v>
      </c>
      <c r="D19" s="35"/>
      <c r="E19" s="36">
        <f t="shared" si="0"/>
        <v>0</v>
      </c>
      <c r="F19" s="37">
        <f t="shared" si="1"/>
        <v>5</v>
      </c>
      <c r="G19" s="37">
        <f t="shared" si="2"/>
        <v>0</v>
      </c>
      <c r="H19" s="38">
        <f t="shared" si="3"/>
        <v>0</v>
      </c>
      <c r="I19" s="39">
        <f t="shared" si="6"/>
        <v>35</v>
      </c>
      <c r="J19" s="40">
        <f t="shared" si="4"/>
        <v>4.807692307692308E-2</v>
      </c>
      <c r="K19" s="46">
        <v>46055</v>
      </c>
      <c r="L19" s="30" t="s">
        <v>19</v>
      </c>
      <c r="M19" s="42" t="b">
        <v>1</v>
      </c>
      <c r="N19" s="47">
        <v>46069</v>
      </c>
      <c r="O19" s="30" t="s">
        <v>19</v>
      </c>
      <c r="P19" s="42" t="b">
        <v>0</v>
      </c>
      <c r="Q19" s="47">
        <v>46062</v>
      </c>
      <c r="R19" s="30" t="s">
        <v>19</v>
      </c>
      <c r="S19" s="42" t="b">
        <v>0</v>
      </c>
      <c r="T19" s="47">
        <v>46090</v>
      </c>
      <c r="U19" s="30" t="s">
        <v>19</v>
      </c>
      <c r="V19" s="42" t="b">
        <v>0</v>
      </c>
      <c r="W19" s="47">
        <v>46146</v>
      </c>
      <c r="X19" s="30" t="s">
        <v>19</v>
      </c>
      <c r="Y19" s="42" t="b">
        <v>0</v>
      </c>
      <c r="Z19" s="43"/>
      <c r="AA19" s="30"/>
      <c r="AB19" s="42" t="b">
        <v>0</v>
      </c>
      <c r="AC19" s="43"/>
      <c r="AD19" s="30"/>
      <c r="AE19" s="42" t="b">
        <v>0</v>
      </c>
      <c r="AF19" s="43"/>
      <c r="AG19" s="30"/>
      <c r="AH19" s="42" t="b">
        <v>0</v>
      </c>
      <c r="AI19" s="43"/>
      <c r="AJ19" s="30"/>
      <c r="AK19" s="42" t="b">
        <v>0</v>
      </c>
      <c r="AL19" s="43"/>
      <c r="AM19" s="30"/>
      <c r="AN19" s="48" t="b">
        <v>0</v>
      </c>
    </row>
    <row r="20" spans="1:43" ht="13" x14ac:dyDescent="0.15">
      <c r="A20" s="21" t="s">
        <v>37</v>
      </c>
      <c r="B20" s="34" t="s">
        <v>38</v>
      </c>
      <c r="C20" s="34" t="s">
        <v>39</v>
      </c>
      <c r="D20" s="45" t="s">
        <v>301</v>
      </c>
      <c r="E20" s="36">
        <f t="shared" si="0"/>
        <v>0</v>
      </c>
      <c r="F20" s="37">
        <f t="shared" si="1"/>
        <v>1</v>
      </c>
      <c r="G20" s="37">
        <f t="shared" si="2"/>
        <v>1</v>
      </c>
      <c r="H20" s="38">
        <f t="shared" si="3"/>
        <v>0</v>
      </c>
      <c r="I20" s="39">
        <f t="shared" si="6"/>
        <v>14</v>
      </c>
      <c r="J20" s="40">
        <f t="shared" si="4"/>
        <v>1.9230769230769232E-2</v>
      </c>
      <c r="K20" s="46">
        <v>46031</v>
      </c>
      <c r="L20" s="30" t="s">
        <v>19</v>
      </c>
      <c r="M20" s="42" t="b">
        <v>0</v>
      </c>
      <c r="N20" s="47">
        <v>46059</v>
      </c>
      <c r="O20" s="30" t="s">
        <v>20</v>
      </c>
      <c r="P20" s="42" t="b">
        <v>0</v>
      </c>
      <c r="Q20" s="47">
        <v>46066</v>
      </c>
      <c r="R20" s="30" t="s">
        <v>34</v>
      </c>
      <c r="S20" s="42" t="b">
        <v>1</v>
      </c>
      <c r="T20" s="43"/>
      <c r="U20" s="30"/>
      <c r="V20" s="42" t="b">
        <v>0</v>
      </c>
      <c r="W20" s="43"/>
      <c r="X20" s="30"/>
      <c r="Y20" s="42" t="b">
        <v>0</v>
      </c>
      <c r="Z20" s="43"/>
      <c r="AA20" s="30"/>
      <c r="AB20" s="42" t="b">
        <v>0</v>
      </c>
      <c r="AC20" s="43"/>
      <c r="AD20" s="30"/>
      <c r="AE20" s="42" t="b">
        <v>0</v>
      </c>
      <c r="AF20" s="43"/>
      <c r="AG20" s="30"/>
      <c r="AH20" s="42" t="b">
        <v>0</v>
      </c>
      <c r="AI20" s="43"/>
      <c r="AJ20" s="30"/>
      <c r="AK20" s="42" t="b">
        <v>0</v>
      </c>
      <c r="AL20" s="43"/>
      <c r="AM20" s="30"/>
      <c r="AN20" s="48" t="b">
        <v>0</v>
      </c>
    </row>
    <row r="21" spans="1:43" ht="13" x14ac:dyDescent="0.15">
      <c r="A21" s="21" t="s">
        <v>37</v>
      </c>
      <c r="B21" s="34" t="s">
        <v>40</v>
      </c>
      <c r="C21" s="34" t="s">
        <v>41</v>
      </c>
      <c r="D21" s="45" t="s">
        <v>302</v>
      </c>
      <c r="E21" s="36">
        <f t="shared" si="0"/>
        <v>0</v>
      </c>
      <c r="F21" s="37">
        <f t="shared" si="1"/>
        <v>3</v>
      </c>
      <c r="G21" s="37">
        <f t="shared" si="2"/>
        <v>0</v>
      </c>
      <c r="H21" s="38">
        <f t="shared" si="3"/>
        <v>1</v>
      </c>
      <c r="I21" s="39">
        <f t="shared" si="6"/>
        <v>28</v>
      </c>
      <c r="J21" s="40">
        <f t="shared" si="4"/>
        <v>3.8461538461538464E-2</v>
      </c>
      <c r="K21" s="46">
        <v>46031</v>
      </c>
      <c r="L21" s="30" t="s">
        <v>19</v>
      </c>
      <c r="M21" s="42" t="b">
        <v>0</v>
      </c>
      <c r="N21" s="47">
        <v>46059</v>
      </c>
      <c r="O21" s="30" t="s">
        <v>19</v>
      </c>
      <c r="P21" s="42" t="b">
        <v>0</v>
      </c>
      <c r="Q21" s="47">
        <v>46073</v>
      </c>
      <c r="R21" s="30" t="s">
        <v>21</v>
      </c>
      <c r="S21" s="42" t="b">
        <v>1</v>
      </c>
      <c r="T21" s="47">
        <v>46108</v>
      </c>
      <c r="U21" s="30" t="s">
        <v>19</v>
      </c>
      <c r="V21" s="42" t="b">
        <v>1</v>
      </c>
      <c r="W21" s="43"/>
      <c r="X21" s="30"/>
      <c r="Y21" s="42" t="b">
        <v>0</v>
      </c>
      <c r="Z21" s="43"/>
      <c r="AA21" s="30"/>
      <c r="AB21" s="42" t="b">
        <v>0</v>
      </c>
      <c r="AC21" s="43"/>
      <c r="AD21" s="30"/>
      <c r="AE21" s="42" t="b">
        <v>0</v>
      </c>
      <c r="AF21" s="43"/>
      <c r="AG21" s="30"/>
      <c r="AH21" s="42" t="b">
        <v>0</v>
      </c>
      <c r="AI21" s="43"/>
      <c r="AJ21" s="30"/>
      <c r="AK21" s="42" t="b">
        <v>0</v>
      </c>
      <c r="AL21" s="43"/>
      <c r="AM21" s="30"/>
      <c r="AN21" s="48" t="b">
        <v>0</v>
      </c>
    </row>
    <row r="22" spans="1:43" ht="13" x14ac:dyDescent="0.15">
      <c r="A22" s="21" t="s">
        <v>37</v>
      </c>
      <c r="B22" s="34" t="s">
        <v>42</v>
      </c>
      <c r="C22" s="34" t="s">
        <v>43</v>
      </c>
      <c r="D22" s="45" t="s">
        <v>303</v>
      </c>
      <c r="E22" s="36">
        <f t="shared" si="0"/>
        <v>0</v>
      </c>
      <c r="F22" s="37">
        <f t="shared" si="1"/>
        <v>0</v>
      </c>
      <c r="G22" s="37">
        <f t="shared" si="2"/>
        <v>0</v>
      </c>
      <c r="H22" s="38">
        <f t="shared" si="3"/>
        <v>3</v>
      </c>
      <c r="I22" s="39">
        <f t="shared" si="6"/>
        <v>21</v>
      </c>
      <c r="J22" s="40">
        <f t="shared" si="4"/>
        <v>2.8846153846153848E-2</v>
      </c>
      <c r="K22" s="46">
        <v>46066</v>
      </c>
      <c r="L22" s="30" t="s">
        <v>21</v>
      </c>
      <c r="M22" s="42" t="b">
        <v>1</v>
      </c>
      <c r="N22" s="47">
        <v>46073</v>
      </c>
      <c r="O22" s="30" t="s">
        <v>21</v>
      </c>
      <c r="P22" s="42" t="b">
        <v>1</v>
      </c>
      <c r="Q22" s="43" t="s">
        <v>44</v>
      </c>
      <c r="R22" s="30" t="s">
        <v>21</v>
      </c>
      <c r="S22" s="42" t="b">
        <v>1</v>
      </c>
      <c r="T22" s="47">
        <v>46101</v>
      </c>
      <c r="U22" s="30" t="s">
        <v>21</v>
      </c>
      <c r="V22" s="42" t="b">
        <v>1</v>
      </c>
      <c r="W22" s="43"/>
      <c r="X22" s="30"/>
      <c r="Y22" s="42" t="b">
        <v>0</v>
      </c>
      <c r="Z22" s="43"/>
      <c r="AA22" s="30"/>
      <c r="AB22" s="42" t="b">
        <v>0</v>
      </c>
      <c r="AC22" s="43"/>
      <c r="AD22" s="30"/>
      <c r="AE22" s="42" t="b">
        <v>0</v>
      </c>
      <c r="AF22" s="43"/>
      <c r="AG22" s="30"/>
      <c r="AH22" s="42" t="b">
        <v>0</v>
      </c>
      <c r="AI22" s="43"/>
      <c r="AJ22" s="30"/>
      <c r="AK22" s="42" t="b">
        <v>0</v>
      </c>
      <c r="AL22" s="43"/>
      <c r="AM22" s="30"/>
      <c r="AN22" s="48" t="b">
        <v>0</v>
      </c>
    </row>
    <row r="23" spans="1:43" ht="13" x14ac:dyDescent="0.15">
      <c r="A23" s="21" t="s">
        <v>45</v>
      </c>
      <c r="B23" s="34" t="s">
        <v>46</v>
      </c>
      <c r="C23" s="34" t="s">
        <v>47</v>
      </c>
      <c r="D23" s="45" t="s">
        <v>304</v>
      </c>
      <c r="E23" s="36">
        <f t="shared" si="0"/>
        <v>0</v>
      </c>
      <c r="F23" s="37">
        <f t="shared" si="1"/>
        <v>2</v>
      </c>
      <c r="G23" s="37">
        <f t="shared" si="2"/>
        <v>0</v>
      </c>
      <c r="H23" s="38">
        <f t="shared" si="3"/>
        <v>1</v>
      </c>
      <c r="I23" s="39">
        <f t="shared" si="6"/>
        <v>21</v>
      </c>
      <c r="J23" s="40">
        <f t="shared" si="4"/>
        <v>2.8846153846153848E-2</v>
      </c>
      <c r="K23" s="46">
        <v>46037</v>
      </c>
      <c r="L23" s="30" t="s">
        <v>21</v>
      </c>
      <c r="M23" s="42" t="b">
        <v>0</v>
      </c>
      <c r="N23" s="47">
        <v>46058</v>
      </c>
      <c r="O23" s="30" t="s">
        <v>19</v>
      </c>
      <c r="P23" s="42" t="b">
        <v>1</v>
      </c>
      <c r="Q23" s="47">
        <v>46093</v>
      </c>
      <c r="R23" s="30" t="s">
        <v>21</v>
      </c>
      <c r="S23" s="42" t="b">
        <v>1</v>
      </c>
      <c r="T23" s="47">
        <v>46163</v>
      </c>
      <c r="U23" s="30" t="s">
        <v>19</v>
      </c>
      <c r="V23" s="42" t="b">
        <v>0</v>
      </c>
      <c r="W23" s="43"/>
      <c r="X23" s="30"/>
      <c r="Y23" s="42" t="b">
        <v>0</v>
      </c>
      <c r="Z23" s="43"/>
      <c r="AA23" s="30"/>
      <c r="AB23" s="42" t="b">
        <v>0</v>
      </c>
      <c r="AC23" s="43"/>
      <c r="AD23" s="30"/>
      <c r="AE23" s="42" t="b">
        <v>0</v>
      </c>
      <c r="AF23" s="43"/>
      <c r="AG23" s="30"/>
      <c r="AH23" s="42" t="b">
        <v>0</v>
      </c>
      <c r="AI23" s="43"/>
      <c r="AJ23" s="30"/>
      <c r="AK23" s="42" t="b">
        <v>0</v>
      </c>
      <c r="AL23" s="43"/>
      <c r="AM23" s="30"/>
      <c r="AN23" s="48" t="b">
        <v>0</v>
      </c>
    </row>
    <row r="24" spans="1:43" ht="13" x14ac:dyDescent="0.15">
      <c r="A24" s="21" t="s">
        <v>45</v>
      </c>
      <c r="B24" s="34" t="s">
        <v>48</v>
      </c>
      <c r="C24" s="34" t="s">
        <v>49</v>
      </c>
      <c r="D24" s="45" t="s">
        <v>305</v>
      </c>
      <c r="E24" s="36">
        <f t="shared" si="0"/>
        <v>0</v>
      </c>
      <c r="F24" s="37">
        <f t="shared" si="1"/>
        <v>1</v>
      </c>
      <c r="G24" s="37">
        <f t="shared" si="2"/>
        <v>1</v>
      </c>
      <c r="H24" s="38">
        <f t="shared" si="3"/>
        <v>0</v>
      </c>
      <c r="I24" s="39">
        <f t="shared" si="6"/>
        <v>14</v>
      </c>
      <c r="J24" s="40">
        <f t="shared" si="4"/>
        <v>1.9230769230769232E-2</v>
      </c>
      <c r="K24" s="46">
        <v>46030</v>
      </c>
      <c r="L24" s="30" t="s">
        <v>20</v>
      </c>
      <c r="M24" s="42" t="b">
        <v>1</v>
      </c>
      <c r="N24" s="47">
        <v>46065</v>
      </c>
      <c r="O24" s="30" t="s">
        <v>19</v>
      </c>
      <c r="P24" s="42" t="b">
        <v>1</v>
      </c>
      <c r="Q24" s="43"/>
      <c r="R24" s="30"/>
      <c r="S24" s="42" t="b">
        <v>0</v>
      </c>
      <c r="T24" s="43"/>
      <c r="U24" s="30"/>
      <c r="V24" s="42" t="b">
        <v>0</v>
      </c>
      <c r="W24" s="43"/>
      <c r="X24" s="30"/>
      <c r="Y24" s="42" t="b">
        <v>0</v>
      </c>
      <c r="Z24" s="43"/>
      <c r="AA24" s="30"/>
      <c r="AB24" s="42" t="b">
        <v>0</v>
      </c>
      <c r="AC24" s="43"/>
      <c r="AD24" s="30"/>
      <c r="AE24" s="42" t="b">
        <v>0</v>
      </c>
      <c r="AF24" s="43"/>
      <c r="AG24" s="30"/>
      <c r="AH24" s="42" t="b">
        <v>0</v>
      </c>
      <c r="AI24" s="43"/>
      <c r="AJ24" s="30"/>
      <c r="AK24" s="42" t="b">
        <v>0</v>
      </c>
      <c r="AL24" s="43"/>
      <c r="AM24" s="30"/>
      <c r="AN24" s="48" t="b">
        <v>0</v>
      </c>
    </row>
    <row r="25" spans="1:43" ht="13" x14ac:dyDescent="0.15">
      <c r="A25" s="21" t="s">
        <v>45</v>
      </c>
      <c r="B25" s="34" t="s">
        <v>50</v>
      </c>
      <c r="C25" s="34" t="s">
        <v>51</v>
      </c>
      <c r="D25" s="45" t="s">
        <v>306</v>
      </c>
      <c r="E25" s="36">
        <f t="shared" si="0"/>
        <v>0</v>
      </c>
      <c r="F25" s="37">
        <f t="shared" si="1"/>
        <v>3</v>
      </c>
      <c r="G25" s="37">
        <f t="shared" si="2"/>
        <v>3</v>
      </c>
      <c r="H25" s="38">
        <f t="shared" si="3"/>
        <v>0</v>
      </c>
      <c r="I25" s="39">
        <f t="shared" si="6"/>
        <v>42</v>
      </c>
      <c r="J25" s="40">
        <f t="shared" si="4"/>
        <v>5.7692307692307696E-2</v>
      </c>
      <c r="K25" s="46">
        <v>46030</v>
      </c>
      <c r="L25" s="30" t="s">
        <v>20</v>
      </c>
      <c r="M25" s="42" t="b">
        <v>1</v>
      </c>
      <c r="N25" s="47">
        <v>46037</v>
      </c>
      <c r="O25" s="30" t="s">
        <v>20</v>
      </c>
      <c r="P25" s="42" t="b">
        <v>1</v>
      </c>
      <c r="Q25" s="47">
        <v>46051</v>
      </c>
      <c r="R25" s="30" t="s">
        <v>20</v>
      </c>
      <c r="S25" s="42" t="b">
        <v>0</v>
      </c>
      <c r="T25" s="47">
        <v>46058</v>
      </c>
      <c r="U25" s="30" t="s">
        <v>19</v>
      </c>
      <c r="V25" s="42" t="b">
        <v>0</v>
      </c>
      <c r="W25" s="47">
        <v>46065</v>
      </c>
      <c r="X25" s="30" t="s">
        <v>19</v>
      </c>
      <c r="Y25" s="42" t="b">
        <v>1</v>
      </c>
      <c r="Z25" s="47">
        <v>46079</v>
      </c>
      <c r="AA25" s="30" t="s">
        <v>19</v>
      </c>
      <c r="AB25" s="42" t="b">
        <v>1</v>
      </c>
      <c r="AC25" s="43"/>
      <c r="AD25" s="30"/>
      <c r="AE25" s="42" t="b">
        <v>0</v>
      </c>
      <c r="AF25" s="43"/>
      <c r="AG25" s="30"/>
      <c r="AH25" s="42" t="b">
        <v>0</v>
      </c>
      <c r="AI25" s="43"/>
      <c r="AJ25" s="30"/>
      <c r="AK25" s="42" t="b">
        <v>0</v>
      </c>
      <c r="AL25" s="43"/>
      <c r="AM25" s="30"/>
      <c r="AN25" s="48" t="b">
        <v>0</v>
      </c>
    </row>
    <row r="26" spans="1:43" ht="13" x14ac:dyDescent="0.15">
      <c r="A26" s="21" t="s">
        <v>52</v>
      </c>
      <c r="B26" s="34" t="s">
        <v>53</v>
      </c>
      <c r="C26" s="34" t="s">
        <v>54</v>
      </c>
      <c r="D26" s="45" t="s">
        <v>307</v>
      </c>
      <c r="E26" s="36">
        <f t="shared" si="0"/>
        <v>0</v>
      </c>
      <c r="F26" s="37">
        <f t="shared" si="1"/>
        <v>0</v>
      </c>
      <c r="G26" s="37">
        <f t="shared" si="2"/>
        <v>0</v>
      </c>
      <c r="H26" s="38">
        <f t="shared" si="3"/>
        <v>0</v>
      </c>
      <c r="I26" s="39">
        <f t="shared" si="6"/>
        <v>0</v>
      </c>
      <c r="J26" s="40">
        <f t="shared" si="4"/>
        <v>0</v>
      </c>
      <c r="K26" s="46">
        <v>46062</v>
      </c>
      <c r="L26" s="30" t="s">
        <v>21</v>
      </c>
      <c r="M26" s="42" t="b">
        <v>1</v>
      </c>
      <c r="N26" s="47"/>
      <c r="O26" s="30"/>
      <c r="P26" s="42" t="b">
        <v>0</v>
      </c>
      <c r="Q26" s="47"/>
      <c r="R26" s="30"/>
      <c r="S26" s="42" t="b">
        <v>0</v>
      </c>
      <c r="T26" s="43"/>
      <c r="U26" s="30"/>
      <c r="V26" s="42" t="b">
        <v>0</v>
      </c>
      <c r="W26" s="43"/>
      <c r="X26" s="30"/>
      <c r="Y26" s="42" t="b">
        <v>0</v>
      </c>
      <c r="Z26" s="43"/>
      <c r="AA26" s="30"/>
      <c r="AB26" s="42" t="b">
        <v>0</v>
      </c>
      <c r="AC26" s="43"/>
      <c r="AD26" s="30"/>
      <c r="AE26" s="42" t="b">
        <v>0</v>
      </c>
      <c r="AF26" s="43"/>
      <c r="AG26" s="30"/>
      <c r="AH26" s="42" t="b">
        <v>0</v>
      </c>
      <c r="AI26" s="43"/>
      <c r="AJ26" s="30"/>
      <c r="AK26" s="42" t="b">
        <v>0</v>
      </c>
      <c r="AL26" s="43"/>
      <c r="AM26" s="30"/>
      <c r="AN26" s="48" t="b">
        <v>0</v>
      </c>
    </row>
    <row r="27" spans="1:43" ht="13" x14ac:dyDescent="0.15">
      <c r="A27" s="21" t="s">
        <v>52</v>
      </c>
      <c r="B27" s="34" t="s">
        <v>55</v>
      </c>
      <c r="C27" s="34" t="s">
        <v>56</v>
      </c>
      <c r="D27" s="45" t="s">
        <v>308</v>
      </c>
      <c r="E27" s="36">
        <f t="shared" si="0"/>
        <v>0</v>
      </c>
      <c r="F27" s="37">
        <f t="shared" si="1"/>
        <v>1</v>
      </c>
      <c r="G27" s="37">
        <f t="shared" si="2"/>
        <v>0</v>
      </c>
      <c r="H27" s="38">
        <f t="shared" si="3"/>
        <v>4</v>
      </c>
      <c r="I27" s="39">
        <f t="shared" si="6"/>
        <v>35</v>
      </c>
      <c r="J27" s="40">
        <f t="shared" si="4"/>
        <v>4.807692307692308E-2</v>
      </c>
      <c r="K27" s="46">
        <v>46076</v>
      </c>
      <c r="L27" s="30" t="s">
        <v>19</v>
      </c>
      <c r="M27" s="42" t="b">
        <v>0</v>
      </c>
      <c r="N27" s="47">
        <v>46090</v>
      </c>
      <c r="O27" s="30" t="s">
        <v>21</v>
      </c>
      <c r="P27" s="42" t="b">
        <v>1</v>
      </c>
      <c r="Q27" s="47">
        <v>46111</v>
      </c>
      <c r="R27" s="30" t="s">
        <v>21</v>
      </c>
      <c r="S27" s="42" t="b">
        <v>1</v>
      </c>
      <c r="T27" s="47">
        <v>46132</v>
      </c>
      <c r="U27" s="30" t="s">
        <v>21</v>
      </c>
      <c r="V27" s="42" t="b">
        <v>1</v>
      </c>
      <c r="W27" s="47">
        <v>46146</v>
      </c>
      <c r="X27" s="30" t="s">
        <v>21</v>
      </c>
      <c r="Y27" s="42" t="b">
        <v>0</v>
      </c>
      <c r="Z27" s="43"/>
      <c r="AA27" s="30"/>
      <c r="AB27" s="42" t="b">
        <v>0</v>
      </c>
      <c r="AC27" s="43"/>
      <c r="AD27" s="30"/>
      <c r="AE27" s="42" t="b">
        <v>0</v>
      </c>
      <c r="AF27" s="43"/>
      <c r="AG27" s="30"/>
      <c r="AH27" s="42" t="b">
        <v>0</v>
      </c>
      <c r="AI27" s="43"/>
      <c r="AJ27" s="30"/>
      <c r="AK27" s="42" t="b">
        <v>0</v>
      </c>
      <c r="AL27" s="43"/>
      <c r="AM27" s="30"/>
      <c r="AN27" s="48" t="b">
        <v>0</v>
      </c>
    </row>
    <row r="28" spans="1:43" ht="13" x14ac:dyDescent="0.15">
      <c r="A28" s="21" t="s">
        <v>52</v>
      </c>
      <c r="B28" s="34" t="s">
        <v>57</v>
      </c>
      <c r="C28" s="34" t="s">
        <v>58</v>
      </c>
      <c r="D28" s="45" t="s">
        <v>309</v>
      </c>
      <c r="E28" s="36">
        <f t="shared" si="0"/>
        <v>0</v>
      </c>
      <c r="F28" s="37">
        <f t="shared" si="1"/>
        <v>2</v>
      </c>
      <c r="G28" s="37">
        <f t="shared" si="2"/>
        <v>0</v>
      </c>
      <c r="H28" s="38">
        <f t="shared" si="3"/>
        <v>1</v>
      </c>
      <c r="I28" s="39">
        <f t="shared" si="6"/>
        <v>21</v>
      </c>
      <c r="J28" s="40">
        <f t="shared" si="4"/>
        <v>2.8846153846153848E-2</v>
      </c>
      <c r="K28" s="46">
        <v>46027</v>
      </c>
      <c r="L28" s="30" t="s">
        <v>21</v>
      </c>
      <c r="M28" s="42" t="b">
        <v>0</v>
      </c>
      <c r="N28" s="47">
        <v>46069</v>
      </c>
      <c r="O28" s="30" t="s">
        <v>34</v>
      </c>
      <c r="P28" s="42" t="b">
        <v>1</v>
      </c>
      <c r="Q28" s="47">
        <v>46083</v>
      </c>
      <c r="R28" s="30" t="s">
        <v>19</v>
      </c>
      <c r="S28" s="42" t="b">
        <v>0</v>
      </c>
      <c r="T28" s="47">
        <v>46090</v>
      </c>
      <c r="U28" s="30" t="s">
        <v>21</v>
      </c>
      <c r="V28" s="42" t="b">
        <v>1</v>
      </c>
      <c r="W28" s="47">
        <v>46111</v>
      </c>
      <c r="X28" s="30" t="s">
        <v>19</v>
      </c>
      <c r="Y28" s="42" t="b">
        <v>0</v>
      </c>
      <c r="Z28" s="43"/>
      <c r="AA28" s="30"/>
      <c r="AB28" s="42" t="b">
        <v>0</v>
      </c>
      <c r="AC28" s="43"/>
      <c r="AD28" s="30"/>
      <c r="AE28" s="42" t="b">
        <v>0</v>
      </c>
      <c r="AF28" s="43"/>
      <c r="AG28" s="30"/>
      <c r="AH28" s="42" t="b">
        <v>0</v>
      </c>
      <c r="AI28" s="43"/>
      <c r="AJ28" s="30"/>
      <c r="AK28" s="42" t="b">
        <v>0</v>
      </c>
      <c r="AL28" s="43"/>
      <c r="AM28" s="30"/>
      <c r="AN28" s="48" t="b">
        <v>0</v>
      </c>
    </row>
    <row r="29" spans="1:43" ht="13" x14ac:dyDescent="0.15">
      <c r="A29" s="21" t="s">
        <v>59</v>
      </c>
      <c r="B29" s="34" t="s">
        <v>60</v>
      </c>
      <c r="C29" s="34" t="s">
        <v>61</v>
      </c>
      <c r="D29" s="45" t="s">
        <v>310</v>
      </c>
      <c r="E29" s="36">
        <f t="shared" si="0"/>
        <v>0</v>
      </c>
      <c r="F29" s="37">
        <f t="shared" si="1"/>
        <v>5</v>
      </c>
      <c r="G29" s="37">
        <f t="shared" si="2"/>
        <v>0</v>
      </c>
      <c r="H29" s="38">
        <f t="shared" si="3"/>
        <v>3</v>
      </c>
      <c r="I29" s="39">
        <f t="shared" si="6"/>
        <v>56</v>
      </c>
      <c r="J29" s="40">
        <f t="shared" si="4"/>
        <v>7.6923076923076927E-2</v>
      </c>
      <c r="K29" s="46">
        <v>46045</v>
      </c>
      <c r="L29" s="30" t="s">
        <v>19</v>
      </c>
      <c r="M29" s="42" t="b">
        <v>0</v>
      </c>
      <c r="N29" s="47">
        <v>46073</v>
      </c>
      <c r="O29" s="30" t="s">
        <v>21</v>
      </c>
      <c r="P29" s="42" t="b">
        <v>1</v>
      </c>
      <c r="Q29" s="47">
        <v>46080</v>
      </c>
      <c r="R29" s="30" t="s">
        <v>21</v>
      </c>
      <c r="S29" s="42" t="b">
        <v>1</v>
      </c>
      <c r="T29" s="47">
        <v>46087</v>
      </c>
      <c r="U29" s="30" t="s">
        <v>19</v>
      </c>
      <c r="V29" s="42" t="b">
        <v>1</v>
      </c>
      <c r="W29" s="47">
        <v>46108</v>
      </c>
      <c r="X29" s="30" t="s">
        <v>19</v>
      </c>
      <c r="Y29" s="42" t="b">
        <v>1</v>
      </c>
      <c r="Z29" s="47">
        <v>46122</v>
      </c>
      <c r="AA29" s="30" t="s">
        <v>21</v>
      </c>
      <c r="AB29" s="42" t="b">
        <v>0</v>
      </c>
      <c r="AC29" s="47">
        <v>46115</v>
      </c>
      <c r="AD29" s="30" t="s">
        <v>19</v>
      </c>
      <c r="AE29" s="42" t="b">
        <v>0</v>
      </c>
      <c r="AF29" s="47">
        <v>46136</v>
      </c>
      <c r="AG29" s="30" t="s">
        <v>19</v>
      </c>
      <c r="AH29" s="42" t="b">
        <v>0</v>
      </c>
      <c r="AI29" s="43"/>
      <c r="AJ29" s="30"/>
      <c r="AK29" s="42" t="b">
        <v>0</v>
      </c>
      <c r="AL29" s="43"/>
      <c r="AM29" s="30"/>
      <c r="AN29" s="48" t="b">
        <v>0</v>
      </c>
    </row>
    <row r="30" spans="1:43" ht="13" x14ac:dyDescent="0.15">
      <c r="A30" s="21" t="s">
        <v>59</v>
      </c>
      <c r="B30" s="34" t="s">
        <v>62</v>
      </c>
      <c r="C30" s="34" t="s">
        <v>63</v>
      </c>
      <c r="D30" s="45" t="s">
        <v>311</v>
      </c>
      <c r="E30" s="36">
        <f t="shared" si="0"/>
        <v>0</v>
      </c>
      <c r="F30" s="37">
        <f t="shared" si="1"/>
        <v>1</v>
      </c>
      <c r="G30" s="37">
        <f t="shared" si="2"/>
        <v>3</v>
      </c>
      <c r="H30" s="38">
        <f t="shared" si="3"/>
        <v>0</v>
      </c>
      <c r="I30" s="39">
        <f t="shared" si="6"/>
        <v>28</v>
      </c>
      <c r="J30" s="40">
        <f t="shared" si="4"/>
        <v>3.8461538461538464E-2</v>
      </c>
      <c r="K30" s="46">
        <v>46038</v>
      </c>
      <c r="L30" s="30" t="s">
        <v>20</v>
      </c>
      <c r="M30" s="42" t="b">
        <v>1</v>
      </c>
      <c r="N30" s="43" t="s">
        <v>64</v>
      </c>
      <c r="O30" s="30" t="s">
        <v>20</v>
      </c>
      <c r="P30" s="42" t="b">
        <v>1</v>
      </c>
      <c r="Q30" s="43" t="s">
        <v>65</v>
      </c>
      <c r="R30" s="30" t="s">
        <v>20</v>
      </c>
      <c r="S30" s="42" t="b">
        <v>1</v>
      </c>
      <c r="T30" s="47">
        <v>46129</v>
      </c>
      <c r="U30" s="30" t="s">
        <v>19</v>
      </c>
      <c r="V30" s="42" t="b">
        <v>0</v>
      </c>
      <c r="W30" s="43"/>
      <c r="X30" s="30"/>
      <c r="Y30" s="42" t="b">
        <v>0</v>
      </c>
      <c r="Z30" s="43"/>
      <c r="AA30" s="30"/>
      <c r="AB30" s="42" t="b">
        <v>0</v>
      </c>
      <c r="AC30" s="43"/>
      <c r="AD30" s="30"/>
      <c r="AE30" s="42" t="b">
        <v>0</v>
      </c>
      <c r="AF30" s="43"/>
      <c r="AG30" s="30"/>
      <c r="AH30" s="42" t="b">
        <v>0</v>
      </c>
      <c r="AI30" s="43"/>
      <c r="AJ30" s="30"/>
      <c r="AK30" s="42" t="b">
        <v>0</v>
      </c>
      <c r="AL30" s="43"/>
      <c r="AM30" s="30"/>
      <c r="AN30" s="48" t="b">
        <v>0</v>
      </c>
    </row>
    <row r="31" spans="1:43" ht="13" x14ac:dyDescent="0.15">
      <c r="A31" s="21" t="s">
        <v>59</v>
      </c>
      <c r="B31" s="34" t="s">
        <v>66</v>
      </c>
      <c r="C31" s="34" t="s">
        <v>67</v>
      </c>
      <c r="D31" s="45" t="s">
        <v>312</v>
      </c>
      <c r="E31" s="36">
        <f t="shared" si="0"/>
        <v>0</v>
      </c>
      <c r="F31" s="37">
        <f t="shared" si="1"/>
        <v>1</v>
      </c>
      <c r="G31" s="37">
        <f t="shared" si="2"/>
        <v>1</v>
      </c>
      <c r="H31" s="38">
        <f t="shared" si="3"/>
        <v>1</v>
      </c>
      <c r="I31" s="39">
        <f t="shared" si="6"/>
        <v>21</v>
      </c>
      <c r="J31" s="40">
        <f t="shared" si="4"/>
        <v>2.8846153846153848E-2</v>
      </c>
      <c r="K31" s="46">
        <v>46059</v>
      </c>
      <c r="L31" s="30" t="s">
        <v>20</v>
      </c>
      <c r="M31" s="42" t="b">
        <v>1</v>
      </c>
      <c r="N31" s="47">
        <v>46073</v>
      </c>
      <c r="O31" s="30" t="s">
        <v>21</v>
      </c>
      <c r="P31" s="42" t="b">
        <v>1</v>
      </c>
      <c r="Q31" s="47">
        <v>46066</v>
      </c>
      <c r="R31" s="30" t="s">
        <v>19</v>
      </c>
      <c r="S31" s="42" t="b">
        <v>0</v>
      </c>
      <c r="T31" s="47">
        <v>46087</v>
      </c>
      <c r="U31" s="30" t="s">
        <v>34</v>
      </c>
      <c r="V31" s="42" t="b">
        <v>1</v>
      </c>
      <c r="W31" s="47">
        <v>46101</v>
      </c>
      <c r="X31" s="30" t="s">
        <v>34</v>
      </c>
      <c r="Y31" s="42" t="b">
        <v>1</v>
      </c>
      <c r="Z31" s="47">
        <v>46129</v>
      </c>
      <c r="AA31" s="30" t="s">
        <v>34</v>
      </c>
      <c r="AB31" s="42" t="b">
        <v>0</v>
      </c>
      <c r="AC31" s="47"/>
      <c r="AD31" s="30"/>
      <c r="AE31" s="42" t="b">
        <v>0</v>
      </c>
      <c r="AF31" s="43"/>
      <c r="AG31" s="30"/>
      <c r="AH31" s="42" t="b">
        <v>0</v>
      </c>
      <c r="AI31" s="43"/>
      <c r="AJ31" s="30"/>
      <c r="AK31" s="42" t="b">
        <v>0</v>
      </c>
      <c r="AL31" s="43"/>
      <c r="AM31" s="30"/>
      <c r="AN31" s="48" t="b">
        <v>0</v>
      </c>
    </row>
    <row r="32" spans="1:43" ht="13" x14ac:dyDescent="0.15">
      <c r="A32" s="21" t="s">
        <v>59</v>
      </c>
      <c r="B32" s="34" t="s">
        <v>68</v>
      </c>
      <c r="C32" s="34" t="s">
        <v>69</v>
      </c>
      <c r="D32" s="45" t="s">
        <v>313</v>
      </c>
      <c r="E32" s="36">
        <f t="shared" si="0"/>
        <v>0</v>
      </c>
      <c r="F32" s="37">
        <f t="shared" si="1"/>
        <v>0</v>
      </c>
      <c r="G32" s="37">
        <f t="shared" si="2"/>
        <v>1</v>
      </c>
      <c r="H32" s="38">
        <f t="shared" si="3"/>
        <v>0</v>
      </c>
      <c r="I32" s="39">
        <f t="shared" si="6"/>
        <v>7</v>
      </c>
      <c r="J32" s="40">
        <f t="shared" si="4"/>
        <v>9.6153846153846159E-3</v>
      </c>
      <c r="K32" s="46">
        <v>46045</v>
      </c>
      <c r="L32" s="30" t="s">
        <v>20</v>
      </c>
      <c r="M32" s="42" t="b">
        <v>1</v>
      </c>
      <c r="N32" s="47"/>
      <c r="O32" s="30"/>
      <c r="P32" s="42" t="b">
        <v>0</v>
      </c>
      <c r="Q32" s="43"/>
      <c r="R32" s="30"/>
      <c r="S32" s="42" t="b">
        <v>0</v>
      </c>
      <c r="T32" s="43"/>
      <c r="U32" s="30"/>
      <c r="V32" s="42" t="b">
        <v>0</v>
      </c>
      <c r="W32" s="43"/>
      <c r="X32" s="30"/>
      <c r="Y32" s="42" t="b">
        <v>0</v>
      </c>
      <c r="Z32" s="43"/>
      <c r="AA32" s="30"/>
      <c r="AB32" s="42" t="b">
        <v>0</v>
      </c>
      <c r="AC32" s="43"/>
      <c r="AD32" s="30"/>
      <c r="AE32" s="42" t="b">
        <v>0</v>
      </c>
      <c r="AF32" s="43"/>
      <c r="AG32" s="30"/>
      <c r="AH32" s="42" t="b">
        <v>0</v>
      </c>
      <c r="AI32" s="43"/>
      <c r="AJ32" s="30"/>
      <c r="AK32" s="42" t="b">
        <v>0</v>
      </c>
      <c r="AL32" s="43"/>
      <c r="AM32" s="30"/>
      <c r="AN32" s="48" t="b">
        <v>0</v>
      </c>
    </row>
    <row r="33" spans="1:40" ht="13" x14ac:dyDescent="0.15">
      <c r="A33" s="21" t="s">
        <v>59</v>
      </c>
      <c r="B33" s="34" t="s">
        <v>70</v>
      </c>
      <c r="C33" s="34" t="s">
        <v>71</v>
      </c>
      <c r="D33" s="45" t="s">
        <v>314</v>
      </c>
      <c r="E33" s="36">
        <f t="shared" si="0"/>
        <v>0</v>
      </c>
      <c r="F33" s="37">
        <f t="shared" si="1"/>
        <v>1</v>
      </c>
      <c r="G33" s="37">
        <f t="shared" si="2"/>
        <v>0</v>
      </c>
      <c r="H33" s="38">
        <f t="shared" si="3"/>
        <v>2</v>
      </c>
      <c r="I33" s="39">
        <f t="shared" si="6"/>
        <v>21</v>
      </c>
      <c r="J33" s="40">
        <f t="shared" si="4"/>
        <v>2.8846153846153848E-2</v>
      </c>
      <c r="K33" s="46">
        <v>46045</v>
      </c>
      <c r="L33" s="30" t="s">
        <v>19</v>
      </c>
      <c r="M33" s="42" t="b">
        <v>0</v>
      </c>
      <c r="N33" s="47">
        <v>46073</v>
      </c>
      <c r="O33" s="30" t="s">
        <v>21</v>
      </c>
      <c r="P33" s="42" t="b">
        <v>1</v>
      </c>
      <c r="Q33" s="47">
        <v>46087</v>
      </c>
      <c r="R33" s="30" t="s">
        <v>34</v>
      </c>
      <c r="S33" s="42" t="b">
        <v>1</v>
      </c>
      <c r="T33" s="47">
        <v>46101</v>
      </c>
      <c r="U33" s="30" t="s">
        <v>21</v>
      </c>
      <c r="V33" s="42" t="b">
        <v>1</v>
      </c>
      <c r="W33" s="43"/>
      <c r="X33" s="30"/>
      <c r="Y33" s="42" t="b">
        <v>0</v>
      </c>
      <c r="Z33" s="43"/>
      <c r="AA33" s="30"/>
      <c r="AB33" s="42" t="b">
        <v>0</v>
      </c>
      <c r="AC33" s="43"/>
      <c r="AD33" s="30"/>
      <c r="AE33" s="42" t="b">
        <v>0</v>
      </c>
      <c r="AF33" s="43"/>
      <c r="AG33" s="30"/>
      <c r="AH33" s="42" t="b">
        <v>0</v>
      </c>
      <c r="AI33" s="43"/>
      <c r="AJ33" s="30"/>
      <c r="AK33" s="42" t="b">
        <v>0</v>
      </c>
      <c r="AL33" s="43"/>
      <c r="AM33" s="30"/>
      <c r="AN33" s="48" t="b">
        <v>0</v>
      </c>
    </row>
    <row r="34" spans="1:40" ht="13" x14ac:dyDescent="0.15">
      <c r="A34" s="21" t="s">
        <v>59</v>
      </c>
      <c r="B34" s="34" t="s">
        <v>72</v>
      </c>
      <c r="C34" s="34" t="s">
        <v>73</v>
      </c>
      <c r="D34" s="45" t="s">
        <v>315</v>
      </c>
      <c r="E34" s="36">
        <f t="shared" si="0"/>
        <v>0</v>
      </c>
      <c r="F34" s="37">
        <f t="shared" si="1"/>
        <v>0</v>
      </c>
      <c r="G34" s="37">
        <f t="shared" si="2"/>
        <v>0</v>
      </c>
      <c r="H34" s="38">
        <f t="shared" si="3"/>
        <v>0</v>
      </c>
      <c r="I34" s="39">
        <f t="shared" si="6"/>
        <v>0</v>
      </c>
      <c r="J34" s="40">
        <f t="shared" si="4"/>
        <v>0</v>
      </c>
      <c r="K34" s="46"/>
      <c r="L34" s="30"/>
      <c r="M34" s="42" t="b">
        <v>0</v>
      </c>
      <c r="N34" s="47"/>
      <c r="O34" s="30"/>
      <c r="P34" s="42" t="b">
        <v>0</v>
      </c>
      <c r="Q34" s="47"/>
      <c r="R34" s="30"/>
      <c r="S34" s="42" t="b">
        <v>0</v>
      </c>
      <c r="T34" s="43"/>
      <c r="U34" s="30"/>
      <c r="V34" s="42" t="b">
        <v>0</v>
      </c>
      <c r="W34" s="43"/>
      <c r="X34" s="30"/>
      <c r="Y34" s="42" t="b">
        <v>0</v>
      </c>
      <c r="Z34" s="43"/>
      <c r="AA34" s="30"/>
      <c r="AB34" s="42" t="b">
        <v>0</v>
      </c>
      <c r="AC34" s="43"/>
      <c r="AD34" s="30"/>
      <c r="AE34" s="42" t="b">
        <v>0</v>
      </c>
      <c r="AF34" s="43"/>
      <c r="AG34" s="30"/>
      <c r="AH34" s="42" t="b">
        <v>0</v>
      </c>
      <c r="AI34" s="43"/>
      <c r="AJ34" s="30"/>
      <c r="AK34" s="42" t="b">
        <v>0</v>
      </c>
      <c r="AL34" s="43"/>
      <c r="AM34" s="30"/>
      <c r="AN34" s="48" t="b">
        <v>0</v>
      </c>
    </row>
    <row r="35" spans="1:40" ht="13" x14ac:dyDescent="0.15">
      <c r="A35" s="21" t="s">
        <v>74</v>
      </c>
      <c r="B35" s="34" t="s">
        <v>75</v>
      </c>
      <c r="C35" s="34" t="s">
        <v>63</v>
      </c>
      <c r="D35" s="45" t="s">
        <v>316</v>
      </c>
      <c r="E35" s="36">
        <f t="shared" si="0"/>
        <v>0</v>
      </c>
      <c r="F35" s="37">
        <f t="shared" si="1"/>
        <v>0</v>
      </c>
      <c r="G35" s="37">
        <f t="shared" si="2"/>
        <v>0</v>
      </c>
      <c r="H35" s="38">
        <f t="shared" si="3"/>
        <v>0</v>
      </c>
      <c r="I35" s="39">
        <f t="shared" si="6"/>
        <v>0</v>
      </c>
      <c r="J35" s="40">
        <f t="shared" si="4"/>
        <v>0</v>
      </c>
      <c r="K35" s="41"/>
      <c r="L35" s="30"/>
      <c r="M35" s="42" t="b">
        <v>0</v>
      </c>
      <c r="N35" s="43"/>
      <c r="O35" s="30"/>
      <c r="P35" s="42" t="b">
        <v>0</v>
      </c>
      <c r="Q35" s="43"/>
      <c r="R35" s="30"/>
      <c r="S35" s="42" t="b">
        <v>0</v>
      </c>
      <c r="T35" s="43"/>
      <c r="U35" s="30"/>
      <c r="V35" s="42" t="b">
        <v>0</v>
      </c>
      <c r="W35" s="43"/>
      <c r="X35" s="30"/>
      <c r="Y35" s="42" t="b">
        <v>0</v>
      </c>
      <c r="Z35" s="43"/>
      <c r="AA35" s="30"/>
      <c r="AB35" s="42" t="b">
        <v>0</v>
      </c>
      <c r="AC35" s="43"/>
      <c r="AD35" s="30"/>
      <c r="AE35" s="42" t="b">
        <v>0</v>
      </c>
      <c r="AF35" s="43"/>
      <c r="AG35" s="30"/>
      <c r="AH35" s="42" t="b">
        <v>0</v>
      </c>
      <c r="AI35" s="43"/>
      <c r="AJ35" s="30"/>
      <c r="AK35" s="42" t="b">
        <v>0</v>
      </c>
      <c r="AL35" s="43"/>
      <c r="AM35" s="30"/>
      <c r="AN35" s="48" t="b">
        <v>0</v>
      </c>
    </row>
    <row r="36" spans="1:40" ht="13" x14ac:dyDescent="0.15">
      <c r="A36" s="21" t="s">
        <v>74</v>
      </c>
      <c r="B36" s="34" t="s">
        <v>66</v>
      </c>
      <c r="C36" s="34" t="s">
        <v>76</v>
      </c>
      <c r="D36" s="45" t="s">
        <v>316</v>
      </c>
      <c r="E36" s="36">
        <f t="shared" si="0"/>
        <v>0</v>
      </c>
      <c r="F36" s="37">
        <f t="shared" si="1"/>
        <v>0</v>
      </c>
      <c r="G36" s="37">
        <f t="shared" si="2"/>
        <v>0</v>
      </c>
      <c r="H36" s="38">
        <f t="shared" si="3"/>
        <v>0</v>
      </c>
      <c r="I36" s="39">
        <f t="shared" si="6"/>
        <v>0</v>
      </c>
      <c r="J36" s="40">
        <f t="shared" si="4"/>
        <v>0</v>
      </c>
      <c r="K36" s="41"/>
      <c r="L36" s="30"/>
      <c r="M36" s="42" t="b">
        <v>0</v>
      </c>
      <c r="N36" s="43"/>
      <c r="O36" s="30"/>
      <c r="P36" s="42" t="b">
        <v>0</v>
      </c>
      <c r="Q36" s="43"/>
      <c r="R36" s="30"/>
      <c r="S36" s="42" t="b">
        <v>0</v>
      </c>
      <c r="T36" s="43"/>
      <c r="U36" s="30"/>
      <c r="V36" s="42" t="b">
        <v>0</v>
      </c>
      <c r="W36" s="43"/>
      <c r="X36" s="30"/>
      <c r="Y36" s="42" t="b">
        <v>0</v>
      </c>
      <c r="Z36" s="43"/>
      <c r="AA36" s="30"/>
      <c r="AB36" s="42" t="b">
        <v>0</v>
      </c>
      <c r="AC36" s="43"/>
      <c r="AD36" s="30"/>
      <c r="AE36" s="42" t="b">
        <v>0</v>
      </c>
      <c r="AF36" s="43"/>
      <c r="AG36" s="30"/>
      <c r="AH36" s="42" t="b">
        <v>0</v>
      </c>
      <c r="AI36" s="43"/>
      <c r="AJ36" s="30"/>
      <c r="AK36" s="42" t="b">
        <v>0</v>
      </c>
      <c r="AL36" s="43"/>
      <c r="AM36" s="30"/>
      <c r="AN36" s="48" t="b">
        <v>0</v>
      </c>
    </row>
    <row r="37" spans="1:40" ht="13" x14ac:dyDescent="0.15">
      <c r="A37" s="21" t="s">
        <v>74</v>
      </c>
      <c r="B37" s="34" t="s">
        <v>77</v>
      </c>
      <c r="C37" s="34" t="s">
        <v>78</v>
      </c>
      <c r="D37" s="45" t="s">
        <v>316</v>
      </c>
      <c r="E37" s="36">
        <f t="shared" si="0"/>
        <v>0</v>
      </c>
      <c r="F37" s="37">
        <f t="shared" si="1"/>
        <v>0</v>
      </c>
      <c r="G37" s="37">
        <f t="shared" si="2"/>
        <v>1</v>
      </c>
      <c r="H37" s="38">
        <f t="shared" si="3"/>
        <v>0</v>
      </c>
      <c r="I37" s="39">
        <f t="shared" si="6"/>
        <v>7</v>
      </c>
      <c r="J37" s="40">
        <f t="shared" si="4"/>
        <v>9.6153846153846159E-3</v>
      </c>
      <c r="K37" s="41" t="s">
        <v>79</v>
      </c>
      <c r="L37" s="30" t="s">
        <v>20</v>
      </c>
      <c r="M37" s="42" t="b">
        <v>1</v>
      </c>
      <c r="N37" s="43"/>
      <c r="O37" s="30"/>
      <c r="P37" s="42" t="b">
        <v>0</v>
      </c>
      <c r="Q37" s="43"/>
      <c r="R37" s="30"/>
      <c r="S37" s="42" t="b">
        <v>0</v>
      </c>
      <c r="T37" s="43"/>
      <c r="U37" s="30"/>
      <c r="V37" s="42" t="b">
        <v>0</v>
      </c>
      <c r="W37" s="43"/>
      <c r="X37" s="30"/>
      <c r="Y37" s="42" t="b">
        <v>0</v>
      </c>
      <c r="Z37" s="43"/>
      <c r="AA37" s="30"/>
      <c r="AB37" s="42" t="b">
        <v>0</v>
      </c>
      <c r="AC37" s="43"/>
      <c r="AD37" s="30"/>
      <c r="AE37" s="42" t="b">
        <v>0</v>
      </c>
      <c r="AF37" s="43"/>
      <c r="AG37" s="30"/>
      <c r="AH37" s="42" t="b">
        <v>0</v>
      </c>
      <c r="AI37" s="43"/>
      <c r="AJ37" s="30"/>
      <c r="AK37" s="42" t="b">
        <v>0</v>
      </c>
      <c r="AL37" s="43"/>
      <c r="AM37" s="30"/>
      <c r="AN37" s="48" t="b">
        <v>0</v>
      </c>
    </row>
    <row r="38" spans="1:40" ht="13" x14ac:dyDescent="0.15">
      <c r="A38" s="21" t="s">
        <v>74</v>
      </c>
      <c r="B38" s="34" t="s">
        <v>80</v>
      </c>
      <c r="C38" s="34" t="s">
        <v>81</v>
      </c>
      <c r="D38" s="45" t="s">
        <v>316</v>
      </c>
      <c r="E38" s="36">
        <f t="shared" si="0"/>
        <v>0</v>
      </c>
      <c r="F38" s="37">
        <f t="shared" si="1"/>
        <v>0</v>
      </c>
      <c r="G38" s="37">
        <f t="shared" si="2"/>
        <v>0</v>
      </c>
      <c r="H38" s="38">
        <f t="shared" si="3"/>
        <v>1</v>
      </c>
      <c r="I38" s="39">
        <f t="shared" si="6"/>
        <v>7</v>
      </c>
      <c r="J38" s="40">
        <f t="shared" si="4"/>
        <v>9.6153846153846159E-3</v>
      </c>
      <c r="K38" s="46">
        <v>46125</v>
      </c>
      <c r="L38" s="30" t="s">
        <v>34</v>
      </c>
      <c r="M38" s="42" t="b">
        <v>1</v>
      </c>
      <c r="N38" s="47">
        <v>46160</v>
      </c>
      <c r="O38" s="30" t="s">
        <v>21</v>
      </c>
      <c r="P38" s="42" t="b">
        <v>0</v>
      </c>
      <c r="Q38" s="43"/>
      <c r="R38" s="30"/>
      <c r="S38" s="42" t="b">
        <v>0</v>
      </c>
      <c r="T38" s="43"/>
      <c r="U38" s="30"/>
      <c r="V38" s="42" t="b">
        <v>0</v>
      </c>
      <c r="W38" s="43"/>
      <c r="X38" s="30"/>
      <c r="Y38" s="42" t="b">
        <v>0</v>
      </c>
      <c r="Z38" s="43"/>
      <c r="AA38" s="30"/>
      <c r="AB38" s="42" t="b">
        <v>0</v>
      </c>
      <c r="AC38" s="43"/>
      <c r="AD38" s="30"/>
      <c r="AE38" s="42" t="b">
        <v>0</v>
      </c>
      <c r="AF38" s="43"/>
      <c r="AG38" s="30"/>
      <c r="AH38" s="42" t="b">
        <v>0</v>
      </c>
      <c r="AI38" s="43"/>
      <c r="AJ38" s="30"/>
      <c r="AK38" s="42" t="b">
        <v>0</v>
      </c>
      <c r="AL38" s="43"/>
      <c r="AM38" s="30"/>
      <c r="AN38" s="48" t="b">
        <v>0</v>
      </c>
    </row>
    <row r="39" spans="1:40" ht="13" x14ac:dyDescent="0.15">
      <c r="A39" s="21" t="s">
        <v>74</v>
      </c>
      <c r="B39" s="34" t="s">
        <v>82</v>
      </c>
      <c r="C39" s="34" t="s">
        <v>83</v>
      </c>
      <c r="D39" s="45" t="s">
        <v>316</v>
      </c>
      <c r="E39" s="36">
        <f t="shared" si="0"/>
        <v>0</v>
      </c>
      <c r="F39" s="37">
        <f t="shared" si="1"/>
        <v>1</v>
      </c>
      <c r="G39" s="37">
        <f t="shared" si="2"/>
        <v>0</v>
      </c>
      <c r="H39" s="38">
        <f t="shared" si="3"/>
        <v>2</v>
      </c>
      <c r="I39" s="39">
        <f t="shared" si="6"/>
        <v>21</v>
      </c>
      <c r="J39" s="40">
        <f t="shared" si="4"/>
        <v>2.8846153846153848E-2</v>
      </c>
      <c r="K39" s="46">
        <v>46104</v>
      </c>
      <c r="L39" s="30" t="s">
        <v>21</v>
      </c>
      <c r="M39" s="42" t="b">
        <v>1</v>
      </c>
      <c r="N39" s="47">
        <v>46125</v>
      </c>
      <c r="O39" s="30" t="s">
        <v>21</v>
      </c>
      <c r="P39" s="42" t="b">
        <v>1</v>
      </c>
      <c r="Q39" s="47">
        <v>46139</v>
      </c>
      <c r="R39" s="30" t="s">
        <v>21</v>
      </c>
      <c r="S39" s="42" t="b">
        <v>0</v>
      </c>
      <c r="T39" s="47">
        <v>46153</v>
      </c>
      <c r="U39" s="30" t="s">
        <v>19</v>
      </c>
      <c r="V39" s="42" t="b">
        <v>0</v>
      </c>
      <c r="W39" s="43"/>
      <c r="X39" s="30"/>
      <c r="Y39" s="42" t="b">
        <v>0</v>
      </c>
      <c r="Z39" s="43"/>
      <c r="AA39" s="30"/>
      <c r="AB39" s="42" t="b">
        <v>0</v>
      </c>
      <c r="AC39" s="43"/>
      <c r="AD39" s="30"/>
      <c r="AE39" s="42" t="b">
        <v>0</v>
      </c>
      <c r="AF39" s="43"/>
      <c r="AG39" s="30"/>
      <c r="AH39" s="42" t="b">
        <v>0</v>
      </c>
      <c r="AI39" s="43"/>
      <c r="AJ39" s="30"/>
      <c r="AK39" s="42" t="b">
        <v>0</v>
      </c>
      <c r="AL39" s="43"/>
      <c r="AM39" s="30"/>
      <c r="AN39" s="48" t="b">
        <v>0</v>
      </c>
    </row>
    <row r="40" spans="1:40" ht="13" x14ac:dyDescent="0.15">
      <c r="A40" s="21" t="s">
        <v>74</v>
      </c>
      <c r="B40" s="34" t="s">
        <v>84</v>
      </c>
      <c r="C40" s="34" t="s">
        <v>85</v>
      </c>
      <c r="D40" s="45" t="s">
        <v>316</v>
      </c>
      <c r="E40" s="36">
        <f t="shared" si="0"/>
        <v>0</v>
      </c>
      <c r="F40" s="37">
        <f t="shared" si="1"/>
        <v>1</v>
      </c>
      <c r="G40" s="37">
        <f t="shared" si="2"/>
        <v>0</v>
      </c>
      <c r="H40" s="38">
        <f t="shared" si="3"/>
        <v>2</v>
      </c>
      <c r="I40" s="39">
        <f t="shared" si="6"/>
        <v>21</v>
      </c>
      <c r="J40" s="40">
        <f t="shared" si="4"/>
        <v>2.8846153846153848E-2</v>
      </c>
      <c r="K40" s="46">
        <v>46097</v>
      </c>
      <c r="L40" s="30" t="s">
        <v>21</v>
      </c>
      <c r="M40" s="42" t="b">
        <v>0</v>
      </c>
      <c r="N40" s="47">
        <v>46111</v>
      </c>
      <c r="O40" s="30" t="s">
        <v>21</v>
      </c>
      <c r="P40" s="42" t="b">
        <v>1</v>
      </c>
      <c r="Q40" s="47">
        <v>46132</v>
      </c>
      <c r="R40" s="30" t="s">
        <v>19</v>
      </c>
      <c r="S40" s="42" t="b">
        <v>0</v>
      </c>
      <c r="T40" s="47">
        <v>46160</v>
      </c>
      <c r="U40" s="30" t="s">
        <v>21</v>
      </c>
      <c r="V40" s="42" t="b">
        <v>0</v>
      </c>
      <c r="W40" s="43"/>
      <c r="X40" s="30"/>
      <c r="Y40" s="42" t="b">
        <v>0</v>
      </c>
      <c r="Z40" s="43"/>
      <c r="AA40" s="30"/>
      <c r="AB40" s="42" t="b">
        <v>0</v>
      </c>
      <c r="AC40" s="43"/>
      <c r="AD40" s="30"/>
      <c r="AE40" s="42" t="b">
        <v>0</v>
      </c>
      <c r="AF40" s="43"/>
      <c r="AG40" s="30"/>
      <c r="AH40" s="42" t="b">
        <v>0</v>
      </c>
      <c r="AI40" s="43"/>
      <c r="AJ40" s="30"/>
      <c r="AK40" s="42" t="b">
        <v>0</v>
      </c>
      <c r="AL40" s="43"/>
      <c r="AM40" s="30"/>
      <c r="AN40" s="48" t="b">
        <v>0</v>
      </c>
    </row>
    <row r="41" spans="1:40" ht="13" x14ac:dyDescent="0.15">
      <c r="A41" s="21" t="s">
        <v>74</v>
      </c>
      <c r="B41" s="34" t="s">
        <v>77</v>
      </c>
      <c r="C41" s="34" t="s">
        <v>86</v>
      </c>
      <c r="D41" s="45" t="s">
        <v>316</v>
      </c>
      <c r="E41" s="36">
        <f t="shared" si="0"/>
        <v>0</v>
      </c>
      <c r="F41" s="37">
        <f t="shared" si="1"/>
        <v>0</v>
      </c>
      <c r="G41" s="37">
        <f t="shared" si="2"/>
        <v>0</v>
      </c>
      <c r="H41" s="38">
        <f t="shared" si="3"/>
        <v>0</v>
      </c>
      <c r="I41" s="39">
        <f t="shared" si="6"/>
        <v>0</v>
      </c>
      <c r="J41" s="40">
        <f t="shared" si="4"/>
        <v>0</v>
      </c>
      <c r="K41" s="41"/>
      <c r="L41" s="30"/>
      <c r="M41" s="42" t="b">
        <v>0</v>
      </c>
      <c r="N41" s="43"/>
      <c r="O41" s="30"/>
      <c r="P41" s="42" t="b">
        <v>0</v>
      </c>
      <c r="Q41" s="43"/>
      <c r="R41" s="30"/>
      <c r="S41" s="42" t="b">
        <v>0</v>
      </c>
      <c r="T41" s="43"/>
      <c r="U41" s="30"/>
      <c r="V41" s="42" t="b">
        <v>0</v>
      </c>
      <c r="W41" s="43"/>
      <c r="X41" s="30"/>
      <c r="Y41" s="42" t="b">
        <v>0</v>
      </c>
      <c r="Z41" s="43"/>
      <c r="AA41" s="30"/>
      <c r="AB41" s="42" t="b">
        <v>0</v>
      </c>
      <c r="AC41" s="43"/>
      <c r="AD41" s="30"/>
      <c r="AE41" s="42" t="b">
        <v>0</v>
      </c>
      <c r="AF41" s="43"/>
      <c r="AG41" s="30"/>
      <c r="AH41" s="42" t="b">
        <v>0</v>
      </c>
      <c r="AI41" s="43"/>
      <c r="AJ41" s="30"/>
      <c r="AK41" s="42" t="b">
        <v>0</v>
      </c>
      <c r="AL41" s="43"/>
      <c r="AM41" s="30"/>
      <c r="AN41" s="48" t="b">
        <v>0</v>
      </c>
    </row>
    <row r="42" spans="1:40" ht="13" x14ac:dyDescent="0.15">
      <c r="A42" s="21" t="s">
        <v>74</v>
      </c>
      <c r="B42" s="34" t="s">
        <v>87</v>
      </c>
      <c r="C42" s="34" t="s">
        <v>88</v>
      </c>
      <c r="D42" s="45" t="s">
        <v>316</v>
      </c>
      <c r="E42" s="36">
        <f t="shared" si="0"/>
        <v>0</v>
      </c>
      <c r="F42" s="37">
        <f t="shared" si="1"/>
        <v>4</v>
      </c>
      <c r="G42" s="37">
        <f t="shared" si="2"/>
        <v>0</v>
      </c>
      <c r="H42" s="38">
        <f t="shared" si="3"/>
        <v>0</v>
      </c>
      <c r="I42" s="39">
        <f t="shared" si="6"/>
        <v>28</v>
      </c>
      <c r="J42" s="40">
        <f t="shared" si="4"/>
        <v>3.8461538461538464E-2</v>
      </c>
      <c r="K42" s="46">
        <v>46125</v>
      </c>
      <c r="L42" s="30" t="s">
        <v>19</v>
      </c>
      <c r="M42" s="42" t="b">
        <v>0</v>
      </c>
      <c r="N42" s="47">
        <v>46132</v>
      </c>
      <c r="O42" s="30" t="s">
        <v>19</v>
      </c>
      <c r="P42" s="42" t="b">
        <v>0</v>
      </c>
      <c r="Q42" s="47">
        <v>46160</v>
      </c>
      <c r="R42" s="30" t="s">
        <v>19</v>
      </c>
      <c r="S42" s="42" t="b">
        <v>0</v>
      </c>
      <c r="T42" s="47"/>
      <c r="U42" s="30"/>
      <c r="V42" s="42" t="b">
        <v>0</v>
      </c>
      <c r="W42" s="47">
        <v>46146</v>
      </c>
      <c r="X42" s="30" t="s">
        <v>19</v>
      </c>
      <c r="Y42" s="42" t="b">
        <v>0</v>
      </c>
      <c r="Z42" s="43"/>
      <c r="AA42" s="30"/>
      <c r="AB42" s="42" t="b">
        <v>0</v>
      </c>
      <c r="AC42" s="43"/>
      <c r="AD42" s="30"/>
      <c r="AE42" s="42" t="b">
        <v>0</v>
      </c>
      <c r="AF42" s="43"/>
      <c r="AG42" s="30"/>
      <c r="AH42" s="42" t="b">
        <v>0</v>
      </c>
      <c r="AI42" s="43"/>
      <c r="AJ42" s="30"/>
      <c r="AK42" s="42" t="b">
        <v>0</v>
      </c>
      <c r="AL42" s="43"/>
      <c r="AM42" s="30"/>
      <c r="AN42" s="48" t="b">
        <v>0</v>
      </c>
    </row>
    <row r="43" spans="1:40" ht="13" x14ac:dyDescent="0.15">
      <c r="A43" s="21" t="s">
        <v>74</v>
      </c>
      <c r="B43" s="34" t="s">
        <v>89</v>
      </c>
      <c r="C43" s="34" t="s">
        <v>90</v>
      </c>
      <c r="D43" s="45" t="s">
        <v>316</v>
      </c>
      <c r="E43" s="36">
        <f t="shared" si="0"/>
        <v>0</v>
      </c>
      <c r="F43" s="37">
        <f t="shared" si="1"/>
        <v>0</v>
      </c>
      <c r="G43" s="37">
        <f t="shared" si="2"/>
        <v>0</v>
      </c>
      <c r="H43" s="38">
        <f t="shared" si="3"/>
        <v>0</v>
      </c>
      <c r="I43" s="39">
        <f t="shared" si="6"/>
        <v>0</v>
      </c>
      <c r="J43" s="40">
        <f t="shared" si="4"/>
        <v>0</v>
      </c>
      <c r="K43" s="46"/>
      <c r="L43" s="30"/>
      <c r="M43" s="42" t="b">
        <v>0</v>
      </c>
      <c r="N43" s="43"/>
      <c r="O43" s="30"/>
      <c r="P43" s="42" t="b">
        <v>0</v>
      </c>
      <c r="Q43" s="43"/>
      <c r="R43" s="30"/>
      <c r="S43" s="42" t="b">
        <v>0</v>
      </c>
      <c r="T43" s="43"/>
      <c r="U43" s="30"/>
      <c r="V43" s="42" t="b">
        <v>0</v>
      </c>
      <c r="W43" s="43"/>
      <c r="X43" s="30"/>
      <c r="Y43" s="42" t="b">
        <v>0</v>
      </c>
      <c r="Z43" s="43"/>
      <c r="AA43" s="30"/>
      <c r="AB43" s="42" t="b">
        <v>0</v>
      </c>
      <c r="AC43" s="43"/>
      <c r="AD43" s="30"/>
      <c r="AE43" s="42" t="b">
        <v>0</v>
      </c>
      <c r="AF43" s="43"/>
      <c r="AG43" s="30"/>
      <c r="AH43" s="42" t="b">
        <v>0</v>
      </c>
      <c r="AI43" s="43"/>
      <c r="AJ43" s="30"/>
      <c r="AK43" s="42" t="b">
        <v>0</v>
      </c>
      <c r="AL43" s="43"/>
      <c r="AM43" s="30"/>
      <c r="AN43" s="48" t="b">
        <v>0</v>
      </c>
    </row>
    <row r="44" spans="1:40" ht="13" x14ac:dyDescent="0.15">
      <c r="A44" s="21" t="s">
        <v>74</v>
      </c>
      <c r="B44" s="34" t="s">
        <v>91</v>
      </c>
      <c r="C44" s="34" t="s">
        <v>92</v>
      </c>
      <c r="D44" s="45" t="s">
        <v>316</v>
      </c>
      <c r="E44" s="36">
        <f t="shared" si="0"/>
        <v>0</v>
      </c>
      <c r="F44" s="37">
        <f t="shared" si="1"/>
        <v>0</v>
      </c>
      <c r="G44" s="37">
        <f t="shared" si="2"/>
        <v>0</v>
      </c>
      <c r="H44" s="38">
        <f t="shared" si="3"/>
        <v>0</v>
      </c>
      <c r="I44" s="39">
        <f t="shared" si="6"/>
        <v>0</v>
      </c>
      <c r="J44" s="40">
        <f t="shared" si="4"/>
        <v>0</v>
      </c>
      <c r="K44" s="46"/>
      <c r="L44" s="30"/>
      <c r="M44" s="42" t="b">
        <v>0</v>
      </c>
      <c r="N44" s="43"/>
      <c r="O44" s="30"/>
      <c r="P44" s="42" t="b">
        <v>0</v>
      </c>
      <c r="Q44" s="43"/>
      <c r="R44" s="30"/>
      <c r="S44" s="42" t="b">
        <v>0</v>
      </c>
      <c r="T44" s="43"/>
      <c r="U44" s="30"/>
      <c r="V44" s="42" t="b">
        <v>0</v>
      </c>
      <c r="W44" s="43"/>
      <c r="X44" s="30"/>
      <c r="Y44" s="42" t="b">
        <v>0</v>
      </c>
      <c r="Z44" s="43"/>
      <c r="AA44" s="30"/>
      <c r="AB44" s="42" t="b">
        <v>0</v>
      </c>
      <c r="AC44" s="43"/>
      <c r="AD44" s="30"/>
      <c r="AE44" s="42" t="b">
        <v>0</v>
      </c>
      <c r="AF44" s="43"/>
      <c r="AG44" s="30"/>
      <c r="AH44" s="42" t="b">
        <v>0</v>
      </c>
      <c r="AI44" s="43"/>
      <c r="AJ44" s="30"/>
      <c r="AK44" s="42" t="b">
        <v>0</v>
      </c>
      <c r="AL44" s="43"/>
      <c r="AM44" s="30"/>
      <c r="AN44" s="48" t="b">
        <v>0</v>
      </c>
    </row>
    <row r="45" spans="1:40" ht="13" x14ac:dyDescent="0.15">
      <c r="A45" s="21" t="s">
        <v>74</v>
      </c>
      <c r="B45" s="34" t="s">
        <v>93</v>
      </c>
      <c r="C45" s="34" t="s">
        <v>94</v>
      </c>
      <c r="D45" s="45" t="s">
        <v>316</v>
      </c>
      <c r="E45" s="36">
        <f t="shared" si="0"/>
        <v>0</v>
      </c>
      <c r="F45" s="37">
        <f t="shared" si="1"/>
        <v>0</v>
      </c>
      <c r="G45" s="37">
        <f t="shared" si="2"/>
        <v>0</v>
      </c>
      <c r="H45" s="38">
        <f t="shared" si="3"/>
        <v>0</v>
      </c>
      <c r="I45" s="39">
        <f t="shared" si="6"/>
        <v>0</v>
      </c>
      <c r="J45" s="40">
        <f t="shared" si="4"/>
        <v>0</v>
      </c>
      <c r="K45" s="46"/>
      <c r="L45" s="30"/>
      <c r="M45" s="42" t="b">
        <v>0</v>
      </c>
      <c r="N45" s="43"/>
      <c r="O45" s="30"/>
      <c r="P45" s="42" t="b">
        <v>0</v>
      </c>
      <c r="Q45" s="43"/>
      <c r="R45" s="30"/>
      <c r="S45" s="42" t="b">
        <v>0</v>
      </c>
      <c r="T45" s="43"/>
      <c r="U45" s="30"/>
      <c r="V45" s="42" t="b">
        <v>0</v>
      </c>
      <c r="W45" s="43"/>
      <c r="X45" s="30"/>
      <c r="Y45" s="42" t="b">
        <v>0</v>
      </c>
      <c r="Z45" s="43"/>
      <c r="AA45" s="30"/>
      <c r="AB45" s="42" t="b">
        <v>0</v>
      </c>
      <c r="AC45" s="43"/>
      <c r="AD45" s="30"/>
      <c r="AE45" s="42" t="b">
        <v>0</v>
      </c>
      <c r="AF45" s="43"/>
      <c r="AG45" s="30"/>
      <c r="AH45" s="42" t="b">
        <v>0</v>
      </c>
      <c r="AI45" s="43"/>
      <c r="AJ45" s="30"/>
      <c r="AK45" s="42" t="b">
        <v>0</v>
      </c>
      <c r="AL45" s="43"/>
      <c r="AM45" s="30"/>
      <c r="AN45" s="48" t="b">
        <v>0</v>
      </c>
    </row>
    <row r="46" spans="1:40" ht="13" x14ac:dyDescent="0.15">
      <c r="A46" s="21" t="s">
        <v>74</v>
      </c>
      <c r="B46" s="34" t="s">
        <v>95</v>
      </c>
      <c r="C46" s="34" t="s">
        <v>96</v>
      </c>
      <c r="D46" s="45" t="s">
        <v>316</v>
      </c>
      <c r="E46" s="36">
        <f t="shared" si="0"/>
        <v>0</v>
      </c>
      <c r="F46" s="37">
        <f t="shared" si="1"/>
        <v>0</v>
      </c>
      <c r="G46" s="37">
        <f t="shared" si="2"/>
        <v>0</v>
      </c>
      <c r="H46" s="38">
        <f t="shared" si="3"/>
        <v>0</v>
      </c>
      <c r="I46" s="39">
        <f t="shared" si="6"/>
        <v>0</v>
      </c>
      <c r="J46" s="40">
        <f t="shared" si="4"/>
        <v>0</v>
      </c>
      <c r="K46" s="46"/>
      <c r="L46" s="30"/>
      <c r="M46" s="42" t="b">
        <v>0</v>
      </c>
      <c r="N46" s="43"/>
      <c r="O46" s="30"/>
      <c r="P46" s="42" t="b">
        <v>0</v>
      </c>
      <c r="Q46" s="43"/>
      <c r="R46" s="30"/>
      <c r="S46" s="42" t="b">
        <v>0</v>
      </c>
      <c r="T46" s="43"/>
      <c r="U46" s="30"/>
      <c r="V46" s="42" t="b">
        <v>0</v>
      </c>
      <c r="W46" s="43"/>
      <c r="X46" s="30"/>
      <c r="Y46" s="42" t="b">
        <v>0</v>
      </c>
      <c r="Z46" s="43"/>
      <c r="AA46" s="30"/>
      <c r="AB46" s="42" t="b">
        <v>0</v>
      </c>
      <c r="AC46" s="43"/>
      <c r="AD46" s="30"/>
      <c r="AE46" s="42" t="b">
        <v>0</v>
      </c>
      <c r="AF46" s="43"/>
      <c r="AG46" s="30"/>
      <c r="AH46" s="42" t="b">
        <v>0</v>
      </c>
      <c r="AI46" s="43"/>
      <c r="AJ46" s="30"/>
      <c r="AK46" s="42" t="b">
        <v>0</v>
      </c>
      <c r="AL46" s="43"/>
      <c r="AM46" s="30"/>
      <c r="AN46" s="48" t="b">
        <v>0</v>
      </c>
    </row>
    <row r="47" spans="1:40" ht="13" x14ac:dyDescent="0.15">
      <c r="A47" s="21" t="s">
        <v>74</v>
      </c>
      <c r="B47" s="34" t="s">
        <v>97</v>
      </c>
      <c r="C47" s="34" t="s">
        <v>98</v>
      </c>
      <c r="D47" s="45" t="s">
        <v>316</v>
      </c>
      <c r="E47" s="36">
        <f t="shared" si="0"/>
        <v>0</v>
      </c>
      <c r="F47" s="37">
        <f t="shared" si="1"/>
        <v>0</v>
      </c>
      <c r="G47" s="37">
        <f t="shared" si="2"/>
        <v>0</v>
      </c>
      <c r="H47" s="38">
        <f t="shared" si="3"/>
        <v>0</v>
      </c>
      <c r="I47" s="39">
        <f t="shared" si="6"/>
        <v>0</v>
      </c>
      <c r="J47" s="40">
        <f t="shared" si="4"/>
        <v>0</v>
      </c>
      <c r="K47" s="46"/>
      <c r="L47" s="30"/>
      <c r="M47" s="42" t="b">
        <v>0</v>
      </c>
      <c r="N47" s="43"/>
      <c r="O47" s="30"/>
      <c r="P47" s="42" t="b">
        <v>0</v>
      </c>
      <c r="Q47" s="43"/>
      <c r="R47" s="30"/>
      <c r="S47" s="42" t="b">
        <v>0</v>
      </c>
      <c r="T47" s="43"/>
      <c r="U47" s="30"/>
      <c r="V47" s="42" t="b">
        <v>0</v>
      </c>
      <c r="W47" s="43"/>
      <c r="X47" s="30"/>
      <c r="Y47" s="42" t="b">
        <v>0</v>
      </c>
      <c r="Z47" s="43"/>
      <c r="AA47" s="30"/>
      <c r="AB47" s="42" t="b">
        <v>0</v>
      </c>
      <c r="AC47" s="43"/>
      <c r="AD47" s="30"/>
      <c r="AE47" s="42" t="b">
        <v>0</v>
      </c>
      <c r="AF47" s="43"/>
      <c r="AG47" s="30"/>
      <c r="AH47" s="42" t="b">
        <v>0</v>
      </c>
      <c r="AI47" s="43"/>
      <c r="AJ47" s="30"/>
      <c r="AK47" s="42" t="b">
        <v>0</v>
      </c>
      <c r="AL47" s="43"/>
      <c r="AM47" s="30"/>
      <c r="AN47" s="48" t="b">
        <v>0</v>
      </c>
    </row>
    <row r="48" spans="1:40" ht="13" x14ac:dyDescent="0.15">
      <c r="A48" s="21" t="s">
        <v>74</v>
      </c>
      <c r="B48" s="34" t="s">
        <v>99</v>
      </c>
      <c r="C48" s="34" t="s">
        <v>100</v>
      </c>
      <c r="D48" s="45" t="s">
        <v>316</v>
      </c>
      <c r="E48" s="36">
        <f t="shared" si="0"/>
        <v>0</v>
      </c>
      <c r="F48" s="37">
        <f t="shared" si="1"/>
        <v>0</v>
      </c>
      <c r="G48" s="37">
        <f t="shared" si="2"/>
        <v>0</v>
      </c>
      <c r="H48" s="38">
        <f t="shared" si="3"/>
        <v>1</v>
      </c>
      <c r="I48" s="39">
        <f t="shared" si="6"/>
        <v>7</v>
      </c>
      <c r="J48" s="40">
        <f t="shared" si="4"/>
        <v>9.6153846153846159E-3</v>
      </c>
      <c r="K48" s="46">
        <v>46132</v>
      </c>
      <c r="L48" s="30" t="s">
        <v>21</v>
      </c>
      <c r="M48" s="42" t="b">
        <v>0</v>
      </c>
      <c r="N48" s="47">
        <v>46125</v>
      </c>
      <c r="O48" s="30" t="s">
        <v>21</v>
      </c>
      <c r="P48" s="42" t="b">
        <v>0</v>
      </c>
      <c r="Q48" s="43"/>
      <c r="R48" s="30"/>
      <c r="S48" s="42" t="b">
        <v>0</v>
      </c>
      <c r="T48" s="43"/>
      <c r="U48" s="30"/>
      <c r="V48" s="42" t="b">
        <v>0</v>
      </c>
      <c r="W48" s="43"/>
      <c r="X48" s="30"/>
      <c r="Y48" s="42" t="b">
        <v>0</v>
      </c>
      <c r="Z48" s="43"/>
      <c r="AA48" s="30"/>
      <c r="AB48" s="42" t="b">
        <v>0</v>
      </c>
      <c r="AC48" s="43"/>
      <c r="AD48" s="30"/>
      <c r="AE48" s="42" t="b">
        <v>0</v>
      </c>
      <c r="AF48" s="43"/>
      <c r="AG48" s="30"/>
      <c r="AH48" s="42" t="b">
        <v>0</v>
      </c>
      <c r="AI48" s="43"/>
      <c r="AJ48" s="30"/>
      <c r="AK48" s="42" t="b">
        <v>0</v>
      </c>
      <c r="AL48" s="43"/>
      <c r="AM48" s="30"/>
      <c r="AN48" s="48" t="b">
        <v>0</v>
      </c>
    </row>
    <row r="49" spans="1:40" ht="13" x14ac:dyDescent="0.15">
      <c r="A49" s="21" t="s">
        <v>74</v>
      </c>
      <c r="B49" s="34" t="s">
        <v>101</v>
      </c>
      <c r="C49" s="34" t="s">
        <v>102</v>
      </c>
      <c r="D49" s="45" t="s">
        <v>316</v>
      </c>
      <c r="E49" s="36">
        <f t="shared" si="0"/>
        <v>0</v>
      </c>
      <c r="F49" s="37">
        <f t="shared" si="1"/>
        <v>0</v>
      </c>
      <c r="G49" s="37">
        <f t="shared" si="2"/>
        <v>0</v>
      </c>
      <c r="H49" s="38">
        <f t="shared" si="3"/>
        <v>0</v>
      </c>
      <c r="I49" s="39">
        <f t="shared" si="6"/>
        <v>0</v>
      </c>
      <c r="J49" s="40">
        <f t="shared" si="4"/>
        <v>0</v>
      </c>
      <c r="K49" s="41"/>
      <c r="L49" s="30"/>
      <c r="M49" s="42" t="b">
        <v>0</v>
      </c>
      <c r="N49" s="43"/>
      <c r="O49" s="30"/>
      <c r="P49" s="42" t="b">
        <v>0</v>
      </c>
      <c r="Q49" s="43"/>
      <c r="R49" s="30"/>
      <c r="S49" s="42" t="b">
        <v>0</v>
      </c>
      <c r="T49" s="43"/>
      <c r="U49" s="30"/>
      <c r="V49" s="42" t="b">
        <v>0</v>
      </c>
      <c r="W49" s="43"/>
      <c r="X49" s="30"/>
      <c r="Y49" s="42" t="b">
        <v>0</v>
      </c>
      <c r="Z49" s="43"/>
      <c r="AA49" s="30"/>
      <c r="AB49" s="42" t="b">
        <v>0</v>
      </c>
      <c r="AC49" s="43"/>
      <c r="AD49" s="30"/>
      <c r="AE49" s="42" t="b">
        <v>0</v>
      </c>
      <c r="AF49" s="43"/>
      <c r="AG49" s="30"/>
      <c r="AH49" s="42" t="b">
        <v>0</v>
      </c>
      <c r="AI49" s="43"/>
      <c r="AJ49" s="30"/>
      <c r="AK49" s="42" t="b">
        <v>0</v>
      </c>
      <c r="AL49" s="43"/>
      <c r="AM49" s="30"/>
      <c r="AN49" s="48" t="b">
        <v>0</v>
      </c>
    </row>
    <row r="50" spans="1:40" ht="13" x14ac:dyDescent="0.15">
      <c r="A50" s="21"/>
      <c r="B50" s="34"/>
      <c r="C50" s="34"/>
      <c r="D50" s="45" t="s">
        <v>316</v>
      </c>
      <c r="E50" s="36">
        <f t="shared" si="0"/>
        <v>0</v>
      </c>
      <c r="F50" s="37">
        <f t="shared" si="1"/>
        <v>0</v>
      </c>
      <c r="G50" s="37">
        <f t="shared" si="2"/>
        <v>0</v>
      </c>
      <c r="H50" s="38">
        <f t="shared" si="3"/>
        <v>0</v>
      </c>
      <c r="I50" s="39">
        <f t="shared" si="6"/>
        <v>0</v>
      </c>
      <c r="J50" s="40">
        <f t="shared" si="4"/>
        <v>0</v>
      </c>
      <c r="K50" s="41"/>
      <c r="L50" s="30"/>
      <c r="M50" s="42" t="b">
        <v>0</v>
      </c>
      <c r="N50" s="43"/>
      <c r="O50" s="30"/>
      <c r="P50" s="42" t="b">
        <v>0</v>
      </c>
      <c r="Q50" s="43"/>
      <c r="R50" s="30"/>
      <c r="S50" s="42" t="b">
        <v>0</v>
      </c>
      <c r="T50" s="43"/>
      <c r="U50" s="30"/>
      <c r="V50" s="42" t="b">
        <v>0</v>
      </c>
      <c r="W50" s="43"/>
      <c r="X50" s="30"/>
      <c r="Y50" s="42" t="b">
        <v>0</v>
      </c>
      <c r="Z50" s="43"/>
      <c r="AA50" s="30"/>
      <c r="AB50" s="42" t="b">
        <v>0</v>
      </c>
      <c r="AC50" s="43"/>
      <c r="AD50" s="30"/>
      <c r="AE50" s="42" t="b">
        <v>0</v>
      </c>
      <c r="AF50" s="43"/>
      <c r="AG50" s="30"/>
      <c r="AH50" s="42" t="b">
        <v>0</v>
      </c>
      <c r="AI50" s="43"/>
      <c r="AJ50" s="30"/>
      <c r="AK50" s="42" t="b">
        <v>0</v>
      </c>
      <c r="AL50" s="43"/>
      <c r="AM50" s="30"/>
      <c r="AN50" s="48" t="b">
        <v>0</v>
      </c>
    </row>
    <row r="51" spans="1:40" ht="13" x14ac:dyDescent="0.15">
      <c r="A51" s="21"/>
      <c r="B51" s="34"/>
      <c r="C51" s="34"/>
      <c r="D51" s="45" t="s">
        <v>316</v>
      </c>
      <c r="E51" s="36">
        <f t="shared" si="0"/>
        <v>0</v>
      </c>
      <c r="F51" s="37">
        <f t="shared" si="1"/>
        <v>0</v>
      </c>
      <c r="G51" s="37">
        <f t="shared" si="2"/>
        <v>0</v>
      </c>
      <c r="H51" s="38">
        <f t="shared" si="3"/>
        <v>0</v>
      </c>
      <c r="I51" s="39">
        <f t="shared" si="6"/>
        <v>0</v>
      </c>
      <c r="J51" s="40">
        <f t="shared" si="4"/>
        <v>0</v>
      </c>
      <c r="K51" s="41"/>
      <c r="L51" s="30"/>
      <c r="M51" s="42" t="b">
        <v>0</v>
      </c>
      <c r="N51" s="43"/>
      <c r="O51" s="30"/>
      <c r="P51" s="42" t="b">
        <v>0</v>
      </c>
      <c r="Q51" s="43"/>
      <c r="R51" s="30"/>
      <c r="S51" s="42" t="b">
        <v>0</v>
      </c>
      <c r="T51" s="43"/>
      <c r="U51" s="30"/>
      <c r="V51" s="42" t="b">
        <v>0</v>
      </c>
      <c r="W51" s="43"/>
      <c r="X51" s="30"/>
      <c r="Y51" s="42" t="b">
        <v>0</v>
      </c>
      <c r="Z51" s="43"/>
      <c r="AA51" s="30"/>
      <c r="AB51" s="42" t="b">
        <v>0</v>
      </c>
      <c r="AC51" s="43"/>
      <c r="AD51" s="30"/>
      <c r="AE51" s="42" t="b">
        <v>0</v>
      </c>
      <c r="AF51" s="43"/>
      <c r="AG51" s="30"/>
      <c r="AH51" s="42" t="b">
        <v>0</v>
      </c>
      <c r="AI51" s="43"/>
      <c r="AJ51" s="30"/>
      <c r="AK51" s="42" t="b">
        <v>0</v>
      </c>
      <c r="AL51" s="43"/>
      <c r="AM51" s="30"/>
      <c r="AN51" s="48" t="b">
        <v>0</v>
      </c>
    </row>
    <row r="52" spans="1:40" ht="13" x14ac:dyDescent="0.15">
      <c r="A52" s="21"/>
      <c r="B52" s="34"/>
      <c r="C52" s="34"/>
      <c r="D52" s="45" t="s">
        <v>316</v>
      </c>
      <c r="E52" s="36">
        <f t="shared" si="0"/>
        <v>0</v>
      </c>
      <c r="F52" s="37">
        <f t="shared" si="1"/>
        <v>0</v>
      </c>
      <c r="G52" s="37">
        <f t="shared" si="2"/>
        <v>0</v>
      </c>
      <c r="H52" s="38">
        <f t="shared" si="3"/>
        <v>0</v>
      </c>
      <c r="I52" s="39">
        <f t="shared" si="6"/>
        <v>0</v>
      </c>
      <c r="J52" s="40">
        <f t="shared" si="4"/>
        <v>0</v>
      </c>
      <c r="K52" s="41"/>
      <c r="L52" s="30"/>
      <c r="M52" s="42" t="b">
        <v>0</v>
      </c>
      <c r="N52" s="43"/>
      <c r="O52" s="30"/>
      <c r="P52" s="42" t="b">
        <v>0</v>
      </c>
      <c r="Q52" s="43"/>
      <c r="R52" s="30"/>
      <c r="S52" s="42" t="b">
        <v>0</v>
      </c>
      <c r="T52" s="43"/>
      <c r="U52" s="30"/>
      <c r="V52" s="42" t="b">
        <v>0</v>
      </c>
      <c r="W52" s="43"/>
      <c r="X52" s="30"/>
      <c r="Y52" s="42" t="b">
        <v>0</v>
      </c>
      <c r="Z52" s="43"/>
      <c r="AA52" s="30"/>
      <c r="AB52" s="42" t="b">
        <v>0</v>
      </c>
      <c r="AC52" s="43"/>
      <c r="AD52" s="30"/>
      <c r="AE52" s="42" t="b">
        <v>0</v>
      </c>
      <c r="AF52" s="43"/>
      <c r="AG52" s="30"/>
      <c r="AH52" s="42" t="b">
        <v>0</v>
      </c>
      <c r="AI52" s="43"/>
      <c r="AJ52" s="30"/>
      <c r="AK52" s="42" t="b">
        <v>0</v>
      </c>
      <c r="AL52" s="43"/>
      <c r="AM52" s="30"/>
      <c r="AN52" s="48" t="b">
        <v>0</v>
      </c>
    </row>
    <row r="53" spans="1:40" ht="13" x14ac:dyDescent="0.15">
      <c r="A53" s="21"/>
      <c r="B53" s="34"/>
      <c r="C53" s="34"/>
      <c r="D53" s="45" t="s">
        <v>316</v>
      </c>
      <c r="E53" s="36">
        <f t="shared" si="0"/>
        <v>0</v>
      </c>
      <c r="F53" s="37">
        <f t="shared" si="1"/>
        <v>0</v>
      </c>
      <c r="G53" s="37">
        <f t="shared" si="2"/>
        <v>0</v>
      </c>
      <c r="H53" s="38">
        <f t="shared" si="3"/>
        <v>0</v>
      </c>
      <c r="I53" s="39">
        <f t="shared" si="6"/>
        <v>0</v>
      </c>
      <c r="J53" s="40">
        <f t="shared" si="4"/>
        <v>0</v>
      </c>
      <c r="K53" s="41"/>
      <c r="L53" s="30"/>
      <c r="M53" s="42" t="b">
        <v>0</v>
      </c>
      <c r="N53" s="43"/>
      <c r="O53" s="30"/>
      <c r="P53" s="42" t="b">
        <v>0</v>
      </c>
      <c r="Q53" s="43"/>
      <c r="R53" s="30"/>
      <c r="S53" s="42" t="b">
        <v>0</v>
      </c>
      <c r="T53" s="43"/>
      <c r="U53" s="30"/>
      <c r="V53" s="42" t="b">
        <v>0</v>
      </c>
      <c r="W53" s="43"/>
      <c r="X53" s="30"/>
      <c r="Y53" s="42" t="b">
        <v>0</v>
      </c>
      <c r="Z53" s="43"/>
      <c r="AA53" s="30"/>
      <c r="AB53" s="42" t="b">
        <v>0</v>
      </c>
      <c r="AC53" s="43"/>
      <c r="AD53" s="30"/>
      <c r="AE53" s="42" t="b">
        <v>0</v>
      </c>
      <c r="AF53" s="43"/>
      <c r="AG53" s="30"/>
      <c r="AH53" s="42" t="b">
        <v>0</v>
      </c>
      <c r="AI53" s="43"/>
      <c r="AJ53" s="30"/>
      <c r="AK53" s="42" t="b">
        <v>0</v>
      </c>
      <c r="AL53" s="43"/>
      <c r="AM53" s="30"/>
      <c r="AN53" s="48" t="b">
        <v>0</v>
      </c>
    </row>
    <row r="54" spans="1:40" ht="13" x14ac:dyDescent="0.15">
      <c r="A54" s="21"/>
      <c r="B54" s="34"/>
      <c r="C54" s="34"/>
      <c r="D54" s="45" t="s">
        <v>316</v>
      </c>
      <c r="E54" s="36">
        <f t="shared" si="0"/>
        <v>0</v>
      </c>
      <c r="F54" s="37">
        <f t="shared" si="1"/>
        <v>0</v>
      </c>
      <c r="G54" s="37">
        <f t="shared" si="2"/>
        <v>0</v>
      </c>
      <c r="H54" s="38">
        <f t="shared" si="3"/>
        <v>0</v>
      </c>
      <c r="I54" s="39">
        <f t="shared" si="6"/>
        <v>0</v>
      </c>
      <c r="J54" s="40">
        <f t="shared" si="4"/>
        <v>0</v>
      </c>
      <c r="K54" s="41"/>
      <c r="L54" s="30"/>
      <c r="M54" s="42" t="b">
        <v>0</v>
      </c>
      <c r="N54" s="43"/>
      <c r="O54" s="30"/>
      <c r="P54" s="42" t="b">
        <v>0</v>
      </c>
      <c r="Q54" s="43"/>
      <c r="R54" s="30"/>
      <c r="S54" s="42" t="b">
        <v>0</v>
      </c>
      <c r="T54" s="43"/>
      <c r="U54" s="30"/>
      <c r="V54" s="42" t="b">
        <v>0</v>
      </c>
      <c r="W54" s="43"/>
      <c r="X54" s="30"/>
      <c r="Y54" s="42" t="b">
        <v>0</v>
      </c>
      <c r="Z54" s="43"/>
      <c r="AA54" s="30"/>
      <c r="AB54" s="42" t="b">
        <v>0</v>
      </c>
      <c r="AC54" s="43"/>
      <c r="AD54" s="30"/>
      <c r="AE54" s="42" t="b">
        <v>0</v>
      </c>
      <c r="AF54" s="43"/>
      <c r="AG54" s="30"/>
      <c r="AH54" s="42" t="b">
        <v>0</v>
      </c>
      <c r="AI54" s="43"/>
      <c r="AJ54" s="30"/>
      <c r="AK54" s="42" t="b">
        <v>0</v>
      </c>
      <c r="AL54" s="43"/>
      <c r="AM54" s="30"/>
      <c r="AN54" s="48" t="b">
        <v>0</v>
      </c>
    </row>
    <row r="55" spans="1:40" ht="13" x14ac:dyDescent="0.15">
      <c r="A55" s="21"/>
      <c r="B55" s="34"/>
      <c r="C55" s="34"/>
      <c r="D55" s="45" t="s">
        <v>316</v>
      </c>
      <c r="E55" s="36">
        <f t="shared" si="0"/>
        <v>0</v>
      </c>
      <c r="F55" s="37">
        <f t="shared" si="1"/>
        <v>0</v>
      </c>
      <c r="G55" s="37">
        <f t="shared" si="2"/>
        <v>0</v>
      </c>
      <c r="H55" s="38">
        <f t="shared" si="3"/>
        <v>0</v>
      </c>
      <c r="I55" s="39">
        <f t="shared" si="6"/>
        <v>0</v>
      </c>
      <c r="J55" s="40">
        <f t="shared" si="4"/>
        <v>0</v>
      </c>
      <c r="K55" s="41"/>
      <c r="L55" s="30"/>
      <c r="M55" s="42" t="b">
        <v>0</v>
      </c>
      <c r="N55" s="43"/>
      <c r="O55" s="30"/>
      <c r="P55" s="42" t="b">
        <v>0</v>
      </c>
      <c r="Q55" s="43"/>
      <c r="R55" s="30"/>
      <c r="S55" s="42" t="b">
        <v>0</v>
      </c>
      <c r="T55" s="43"/>
      <c r="U55" s="30"/>
      <c r="V55" s="42" t="b">
        <v>0</v>
      </c>
      <c r="W55" s="43"/>
      <c r="X55" s="30"/>
      <c r="Y55" s="42" t="b">
        <v>0</v>
      </c>
      <c r="Z55" s="43"/>
      <c r="AA55" s="30"/>
      <c r="AB55" s="42" t="b">
        <v>0</v>
      </c>
      <c r="AC55" s="43"/>
      <c r="AD55" s="30"/>
      <c r="AE55" s="42" t="b">
        <v>0</v>
      </c>
      <c r="AF55" s="43"/>
      <c r="AG55" s="30"/>
      <c r="AH55" s="42" t="b">
        <v>0</v>
      </c>
      <c r="AI55" s="43"/>
      <c r="AJ55" s="30"/>
      <c r="AK55" s="42" t="b">
        <v>0</v>
      </c>
      <c r="AL55" s="43"/>
      <c r="AM55" s="30"/>
      <c r="AN55" s="48" t="b">
        <v>0</v>
      </c>
    </row>
    <row r="56" spans="1:40" ht="13" x14ac:dyDescent="0.15">
      <c r="A56" s="21"/>
      <c r="B56" s="34"/>
      <c r="C56" s="34"/>
      <c r="D56" s="45" t="s">
        <v>316</v>
      </c>
      <c r="E56" s="36">
        <f t="shared" si="0"/>
        <v>0</v>
      </c>
      <c r="F56" s="37">
        <f t="shared" si="1"/>
        <v>0</v>
      </c>
      <c r="G56" s="37">
        <f t="shared" si="2"/>
        <v>0</v>
      </c>
      <c r="H56" s="38">
        <f t="shared" si="3"/>
        <v>0</v>
      </c>
      <c r="I56" s="39">
        <f t="shared" si="6"/>
        <v>0</v>
      </c>
      <c r="J56" s="40">
        <f t="shared" si="4"/>
        <v>0</v>
      </c>
      <c r="K56" s="41"/>
      <c r="L56" s="30"/>
      <c r="M56" s="42" t="b">
        <v>0</v>
      </c>
      <c r="N56" s="43"/>
      <c r="O56" s="30"/>
      <c r="P56" s="42" t="b">
        <v>0</v>
      </c>
      <c r="Q56" s="43"/>
      <c r="R56" s="30"/>
      <c r="S56" s="42" t="b">
        <v>0</v>
      </c>
      <c r="T56" s="43"/>
      <c r="U56" s="30"/>
      <c r="V56" s="42" t="b">
        <v>0</v>
      </c>
      <c r="W56" s="43"/>
      <c r="X56" s="30"/>
      <c r="Y56" s="42" t="b">
        <v>0</v>
      </c>
      <c r="Z56" s="43"/>
      <c r="AA56" s="30"/>
      <c r="AB56" s="42" t="b">
        <v>0</v>
      </c>
      <c r="AC56" s="43"/>
      <c r="AD56" s="30"/>
      <c r="AE56" s="42" t="b">
        <v>0</v>
      </c>
      <c r="AF56" s="43"/>
      <c r="AG56" s="30"/>
      <c r="AH56" s="42" t="b">
        <v>0</v>
      </c>
      <c r="AI56" s="43"/>
      <c r="AJ56" s="30"/>
      <c r="AK56" s="42" t="b">
        <v>0</v>
      </c>
      <c r="AL56" s="43"/>
      <c r="AM56" s="30"/>
      <c r="AN56" s="48" t="b">
        <v>0</v>
      </c>
    </row>
    <row r="57" spans="1:40" ht="13" x14ac:dyDescent="0.15">
      <c r="A57" s="21"/>
      <c r="B57" s="34"/>
      <c r="C57" s="34"/>
      <c r="D57" s="45" t="s">
        <v>316</v>
      </c>
      <c r="E57" s="36">
        <f t="shared" si="0"/>
        <v>0</v>
      </c>
      <c r="F57" s="37">
        <f t="shared" si="1"/>
        <v>0</v>
      </c>
      <c r="G57" s="37">
        <f t="shared" si="2"/>
        <v>0</v>
      </c>
      <c r="H57" s="38">
        <f t="shared" si="3"/>
        <v>0</v>
      </c>
      <c r="I57" s="39">
        <f t="shared" si="6"/>
        <v>0</v>
      </c>
      <c r="J57" s="40">
        <f t="shared" si="4"/>
        <v>0</v>
      </c>
      <c r="K57" s="41"/>
      <c r="L57" s="30"/>
      <c r="M57" s="42" t="b">
        <v>0</v>
      </c>
      <c r="N57" s="43"/>
      <c r="O57" s="30"/>
      <c r="P57" s="42" t="b">
        <v>0</v>
      </c>
      <c r="Q57" s="43"/>
      <c r="R57" s="30"/>
      <c r="S57" s="42" t="b">
        <v>0</v>
      </c>
      <c r="T57" s="43"/>
      <c r="U57" s="30"/>
      <c r="V57" s="42" t="b">
        <v>0</v>
      </c>
      <c r="W57" s="43"/>
      <c r="X57" s="30"/>
      <c r="Y57" s="42" t="b">
        <v>0</v>
      </c>
      <c r="Z57" s="43"/>
      <c r="AA57" s="30"/>
      <c r="AB57" s="42" t="b">
        <v>0</v>
      </c>
      <c r="AC57" s="43"/>
      <c r="AD57" s="30"/>
      <c r="AE57" s="42" t="b">
        <v>0</v>
      </c>
      <c r="AF57" s="43"/>
      <c r="AG57" s="30"/>
      <c r="AH57" s="42" t="b">
        <v>0</v>
      </c>
      <c r="AI57" s="43"/>
      <c r="AJ57" s="30"/>
      <c r="AK57" s="42" t="b">
        <v>0</v>
      </c>
      <c r="AL57" s="43"/>
      <c r="AM57" s="30"/>
      <c r="AN57" s="48" t="b">
        <v>0</v>
      </c>
    </row>
    <row r="58" spans="1:40" ht="13" x14ac:dyDescent="0.15">
      <c r="A58" s="21"/>
      <c r="B58" s="34"/>
      <c r="C58" s="34"/>
      <c r="D58" s="45" t="s">
        <v>316</v>
      </c>
      <c r="E58" s="36">
        <f t="shared" si="0"/>
        <v>0</v>
      </c>
      <c r="F58" s="37">
        <f t="shared" si="1"/>
        <v>0</v>
      </c>
      <c r="G58" s="37">
        <f t="shared" si="2"/>
        <v>0</v>
      </c>
      <c r="H58" s="38">
        <f t="shared" si="3"/>
        <v>0</v>
      </c>
      <c r="I58" s="39">
        <f t="shared" si="6"/>
        <v>0</v>
      </c>
      <c r="J58" s="40">
        <f t="shared" si="4"/>
        <v>0</v>
      </c>
      <c r="K58" s="41"/>
      <c r="L58" s="30"/>
      <c r="M58" s="42" t="b">
        <v>0</v>
      </c>
      <c r="N58" s="43"/>
      <c r="O58" s="30"/>
      <c r="P58" s="42" t="b">
        <v>0</v>
      </c>
      <c r="Q58" s="43"/>
      <c r="R58" s="30"/>
      <c r="S58" s="42" t="b">
        <v>0</v>
      </c>
      <c r="T58" s="43"/>
      <c r="U58" s="30"/>
      <c r="V58" s="42" t="b">
        <v>0</v>
      </c>
      <c r="W58" s="43"/>
      <c r="X58" s="30"/>
      <c r="Y58" s="42" t="b">
        <v>0</v>
      </c>
      <c r="Z58" s="43"/>
      <c r="AA58" s="30"/>
      <c r="AB58" s="42" t="b">
        <v>0</v>
      </c>
      <c r="AC58" s="43"/>
      <c r="AD58" s="30"/>
      <c r="AE58" s="42" t="b">
        <v>0</v>
      </c>
      <c r="AF58" s="43"/>
      <c r="AG58" s="30"/>
      <c r="AH58" s="42" t="b">
        <v>0</v>
      </c>
      <c r="AI58" s="43"/>
      <c r="AJ58" s="30"/>
      <c r="AK58" s="42" t="b">
        <v>0</v>
      </c>
      <c r="AL58" s="43"/>
      <c r="AM58" s="30"/>
      <c r="AN58" s="48" t="b">
        <v>0</v>
      </c>
    </row>
    <row r="59" spans="1:40" ht="13" x14ac:dyDescent="0.15">
      <c r="A59" s="21"/>
      <c r="B59" s="34"/>
      <c r="C59" s="34"/>
      <c r="D59" s="45" t="s">
        <v>316</v>
      </c>
      <c r="E59" s="36">
        <f t="shared" si="0"/>
        <v>0</v>
      </c>
      <c r="F59" s="37">
        <f t="shared" si="1"/>
        <v>0</v>
      </c>
      <c r="G59" s="37">
        <f t="shared" si="2"/>
        <v>0</v>
      </c>
      <c r="H59" s="38">
        <f t="shared" si="3"/>
        <v>0</v>
      </c>
      <c r="I59" s="39">
        <f t="shared" si="6"/>
        <v>0</v>
      </c>
      <c r="J59" s="40">
        <f t="shared" si="4"/>
        <v>0</v>
      </c>
      <c r="K59" s="41"/>
      <c r="L59" s="30"/>
      <c r="M59" s="42" t="b">
        <v>0</v>
      </c>
      <c r="N59" s="43"/>
      <c r="O59" s="30"/>
      <c r="P59" s="42" t="b">
        <v>0</v>
      </c>
      <c r="Q59" s="43"/>
      <c r="R59" s="30"/>
      <c r="S59" s="42" t="b">
        <v>0</v>
      </c>
      <c r="T59" s="43"/>
      <c r="U59" s="30"/>
      <c r="V59" s="42" t="b">
        <v>0</v>
      </c>
      <c r="W59" s="43"/>
      <c r="X59" s="30"/>
      <c r="Y59" s="42" t="b">
        <v>0</v>
      </c>
      <c r="Z59" s="43"/>
      <c r="AA59" s="30"/>
      <c r="AB59" s="42" t="b">
        <v>0</v>
      </c>
      <c r="AC59" s="43"/>
      <c r="AD59" s="30"/>
      <c r="AE59" s="42" t="b">
        <v>0</v>
      </c>
      <c r="AF59" s="43"/>
      <c r="AG59" s="30"/>
      <c r="AH59" s="42" t="b">
        <v>0</v>
      </c>
      <c r="AI59" s="43"/>
      <c r="AJ59" s="30"/>
      <c r="AK59" s="42" t="b">
        <v>0</v>
      </c>
      <c r="AL59" s="43"/>
      <c r="AM59" s="30"/>
      <c r="AN59" s="48" t="b">
        <v>0</v>
      </c>
    </row>
    <row r="60" spans="1:40" ht="13" x14ac:dyDescent="0.15">
      <c r="A60" s="21"/>
      <c r="B60" s="34"/>
      <c r="C60" s="34"/>
      <c r="D60" s="45" t="s">
        <v>316</v>
      </c>
      <c r="E60" s="36">
        <f t="shared" si="0"/>
        <v>0</v>
      </c>
      <c r="F60" s="37">
        <f t="shared" si="1"/>
        <v>0</v>
      </c>
      <c r="G60" s="37">
        <f t="shared" si="2"/>
        <v>0</v>
      </c>
      <c r="H60" s="38">
        <f t="shared" si="3"/>
        <v>0</v>
      </c>
      <c r="I60" s="39">
        <f t="shared" si="6"/>
        <v>0</v>
      </c>
      <c r="J60" s="40">
        <f t="shared" si="4"/>
        <v>0</v>
      </c>
      <c r="K60" s="41"/>
      <c r="L60" s="30"/>
      <c r="M60" s="42" t="b">
        <v>0</v>
      </c>
      <c r="N60" s="43"/>
      <c r="O60" s="30"/>
      <c r="P60" s="42" t="b">
        <v>0</v>
      </c>
      <c r="Q60" s="43"/>
      <c r="R60" s="30"/>
      <c r="S60" s="42" t="b">
        <v>0</v>
      </c>
      <c r="T60" s="43"/>
      <c r="U60" s="30"/>
      <c r="V60" s="42" t="b">
        <v>0</v>
      </c>
      <c r="W60" s="43"/>
      <c r="X60" s="30"/>
      <c r="Y60" s="42" t="b">
        <v>0</v>
      </c>
      <c r="Z60" s="43"/>
      <c r="AA60" s="30"/>
      <c r="AB60" s="42" t="b">
        <v>0</v>
      </c>
      <c r="AC60" s="43"/>
      <c r="AD60" s="30"/>
      <c r="AE60" s="42" t="b">
        <v>0</v>
      </c>
      <c r="AF60" s="43"/>
      <c r="AG60" s="30"/>
      <c r="AH60" s="42" t="b">
        <v>0</v>
      </c>
      <c r="AI60" s="43"/>
      <c r="AJ60" s="30"/>
      <c r="AK60" s="42" t="b">
        <v>0</v>
      </c>
      <c r="AL60" s="43"/>
      <c r="AM60" s="30"/>
      <c r="AN60" s="48" t="b">
        <v>0</v>
      </c>
    </row>
    <row r="61" spans="1:40" ht="13" x14ac:dyDescent="0.15">
      <c r="A61" s="21"/>
      <c r="B61" s="34"/>
      <c r="C61" s="34"/>
      <c r="D61" s="45" t="s">
        <v>316</v>
      </c>
      <c r="E61" s="36">
        <f t="shared" si="0"/>
        <v>0</v>
      </c>
      <c r="F61" s="37">
        <f t="shared" si="1"/>
        <v>0</v>
      </c>
      <c r="G61" s="37">
        <f t="shared" si="2"/>
        <v>0</v>
      </c>
      <c r="H61" s="38">
        <f t="shared" si="3"/>
        <v>0</v>
      </c>
      <c r="I61" s="39">
        <f t="shared" si="6"/>
        <v>0</v>
      </c>
      <c r="J61" s="40">
        <f t="shared" si="4"/>
        <v>0</v>
      </c>
      <c r="K61" s="41"/>
      <c r="L61" s="30"/>
      <c r="M61" s="42" t="b">
        <v>0</v>
      </c>
      <c r="N61" s="43"/>
      <c r="O61" s="30"/>
      <c r="P61" s="42" t="b">
        <v>0</v>
      </c>
      <c r="Q61" s="43"/>
      <c r="R61" s="30"/>
      <c r="S61" s="42" t="b">
        <v>0</v>
      </c>
      <c r="T61" s="43"/>
      <c r="U61" s="30"/>
      <c r="V61" s="42" t="b">
        <v>0</v>
      </c>
      <c r="W61" s="43"/>
      <c r="X61" s="30"/>
      <c r="Y61" s="42" t="b">
        <v>0</v>
      </c>
      <c r="Z61" s="43"/>
      <c r="AA61" s="30"/>
      <c r="AB61" s="42" t="b">
        <v>0</v>
      </c>
      <c r="AC61" s="43"/>
      <c r="AD61" s="30"/>
      <c r="AE61" s="42" t="b">
        <v>0</v>
      </c>
      <c r="AF61" s="43"/>
      <c r="AG61" s="30"/>
      <c r="AH61" s="42" t="b">
        <v>0</v>
      </c>
      <c r="AI61" s="43"/>
      <c r="AJ61" s="30"/>
      <c r="AK61" s="42" t="b">
        <v>0</v>
      </c>
      <c r="AL61" s="43"/>
      <c r="AM61" s="30"/>
      <c r="AN61" s="48" t="b">
        <v>0</v>
      </c>
    </row>
    <row r="62" spans="1:40" ht="13" x14ac:dyDescent="0.15">
      <c r="A62" s="21"/>
      <c r="B62" s="34"/>
      <c r="C62" s="34"/>
      <c r="D62" s="45" t="s">
        <v>316</v>
      </c>
      <c r="E62" s="36">
        <f t="shared" si="0"/>
        <v>0</v>
      </c>
      <c r="F62" s="37">
        <f t="shared" si="1"/>
        <v>0</v>
      </c>
      <c r="G62" s="37">
        <f t="shared" si="2"/>
        <v>0</v>
      </c>
      <c r="H62" s="38">
        <f t="shared" si="3"/>
        <v>0</v>
      </c>
      <c r="I62" s="39">
        <f t="shared" si="6"/>
        <v>0</v>
      </c>
      <c r="J62" s="40">
        <f t="shared" si="4"/>
        <v>0</v>
      </c>
      <c r="K62" s="41"/>
      <c r="L62" s="30"/>
      <c r="M62" s="42" t="b">
        <v>0</v>
      </c>
      <c r="N62" s="43"/>
      <c r="O62" s="30"/>
      <c r="P62" s="42" t="b">
        <v>0</v>
      </c>
      <c r="Q62" s="43"/>
      <c r="R62" s="30"/>
      <c r="S62" s="42" t="b">
        <v>0</v>
      </c>
      <c r="T62" s="43"/>
      <c r="U62" s="30"/>
      <c r="V62" s="42" t="b">
        <v>0</v>
      </c>
      <c r="W62" s="43"/>
      <c r="X62" s="30"/>
      <c r="Y62" s="42" t="b">
        <v>0</v>
      </c>
      <c r="Z62" s="43"/>
      <c r="AA62" s="30"/>
      <c r="AB62" s="42" t="b">
        <v>0</v>
      </c>
      <c r="AC62" s="43"/>
      <c r="AD62" s="30"/>
      <c r="AE62" s="42" t="b">
        <v>0</v>
      </c>
      <c r="AF62" s="43"/>
      <c r="AG62" s="30"/>
      <c r="AH62" s="42" t="b">
        <v>0</v>
      </c>
      <c r="AI62" s="43"/>
      <c r="AJ62" s="30"/>
      <c r="AK62" s="42" t="b">
        <v>0</v>
      </c>
      <c r="AL62" s="43"/>
      <c r="AM62" s="30"/>
      <c r="AN62" s="48" t="b">
        <v>0</v>
      </c>
    </row>
    <row r="63" spans="1:40" ht="13" x14ac:dyDescent="0.15">
      <c r="A63" s="21"/>
      <c r="B63" s="34"/>
      <c r="C63" s="34"/>
      <c r="D63" s="45" t="s">
        <v>316</v>
      </c>
      <c r="E63" s="36">
        <f t="shared" si="0"/>
        <v>0</v>
      </c>
      <c r="F63" s="37">
        <f t="shared" si="1"/>
        <v>0</v>
      </c>
      <c r="G63" s="37">
        <f t="shared" si="2"/>
        <v>0</v>
      </c>
      <c r="H63" s="38">
        <f t="shared" si="3"/>
        <v>0</v>
      </c>
      <c r="I63" s="39">
        <f t="shared" si="6"/>
        <v>0</v>
      </c>
      <c r="J63" s="40">
        <f t="shared" si="4"/>
        <v>0</v>
      </c>
      <c r="K63" s="41"/>
      <c r="L63" s="30"/>
      <c r="M63" s="42" t="b">
        <v>0</v>
      </c>
      <c r="N63" s="43"/>
      <c r="O63" s="30"/>
      <c r="P63" s="42" t="b">
        <v>0</v>
      </c>
      <c r="Q63" s="43"/>
      <c r="R63" s="30"/>
      <c r="S63" s="42" t="b">
        <v>0</v>
      </c>
      <c r="T63" s="43"/>
      <c r="U63" s="30"/>
      <c r="V63" s="42" t="b">
        <v>0</v>
      </c>
      <c r="W63" s="43"/>
      <c r="X63" s="30"/>
      <c r="Y63" s="42" t="b">
        <v>0</v>
      </c>
      <c r="Z63" s="43"/>
      <c r="AA63" s="30"/>
      <c r="AB63" s="42" t="b">
        <v>0</v>
      </c>
      <c r="AC63" s="43"/>
      <c r="AD63" s="30"/>
      <c r="AE63" s="42" t="b">
        <v>0</v>
      </c>
      <c r="AF63" s="43"/>
      <c r="AG63" s="30"/>
      <c r="AH63" s="42" t="b">
        <v>0</v>
      </c>
      <c r="AI63" s="43"/>
      <c r="AJ63" s="30"/>
      <c r="AK63" s="42" t="b">
        <v>0</v>
      </c>
      <c r="AL63" s="43"/>
      <c r="AM63" s="30"/>
      <c r="AN63" s="48" t="b">
        <v>0</v>
      </c>
    </row>
    <row r="64" spans="1:40" ht="13" x14ac:dyDescent="0.15">
      <c r="A64" s="21"/>
      <c r="B64" s="34"/>
      <c r="C64" s="34"/>
      <c r="D64" s="45" t="s">
        <v>316</v>
      </c>
      <c r="E64" s="36">
        <f t="shared" si="0"/>
        <v>0</v>
      </c>
      <c r="F64" s="37">
        <f t="shared" si="1"/>
        <v>0</v>
      </c>
      <c r="G64" s="37">
        <f t="shared" si="2"/>
        <v>0</v>
      </c>
      <c r="H64" s="38">
        <f t="shared" si="3"/>
        <v>0</v>
      </c>
      <c r="I64" s="39">
        <f t="shared" si="6"/>
        <v>0</v>
      </c>
      <c r="J64" s="40">
        <f t="shared" si="4"/>
        <v>0</v>
      </c>
      <c r="K64" s="41"/>
      <c r="L64" s="30"/>
      <c r="M64" s="42" t="b">
        <v>0</v>
      </c>
      <c r="N64" s="43"/>
      <c r="O64" s="30"/>
      <c r="P64" s="42" t="b">
        <v>0</v>
      </c>
      <c r="Q64" s="43"/>
      <c r="R64" s="30"/>
      <c r="S64" s="42" t="b">
        <v>0</v>
      </c>
      <c r="T64" s="43"/>
      <c r="U64" s="30"/>
      <c r="V64" s="42" t="b">
        <v>0</v>
      </c>
      <c r="W64" s="43"/>
      <c r="X64" s="30"/>
      <c r="Y64" s="42" t="b">
        <v>0</v>
      </c>
      <c r="Z64" s="43"/>
      <c r="AA64" s="30"/>
      <c r="AB64" s="42" t="b">
        <v>0</v>
      </c>
      <c r="AC64" s="43"/>
      <c r="AD64" s="30"/>
      <c r="AE64" s="42" t="b">
        <v>0</v>
      </c>
      <c r="AF64" s="43"/>
      <c r="AG64" s="30"/>
      <c r="AH64" s="42" t="b">
        <v>0</v>
      </c>
      <c r="AI64" s="43"/>
      <c r="AJ64" s="30"/>
      <c r="AK64" s="42" t="b">
        <v>0</v>
      </c>
      <c r="AL64" s="43"/>
      <c r="AM64" s="30"/>
      <c r="AN64" s="48" t="b">
        <v>0</v>
      </c>
    </row>
    <row r="65" spans="1:40" ht="13" x14ac:dyDescent="0.15">
      <c r="A65" s="21"/>
      <c r="B65" s="34"/>
      <c r="C65" s="34"/>
      <c r="D65" s="45" t="s">
        <v>316</v>
      </c>
      <c r="E65" s="36">
        <f t="shared" si="0"/>
        <v>0</v>
      </c>
      <c r="F65" s="37">
        <f t="shared" si="1"/>
        <v>0</v>
      </c>
      <c r="G65" s="37">
        <f t="shared" si="2"/>
        <v>0</v>
      </c>
      <c r="H65" s="38">
        <f t="shared" si="3"/>
        <v>0</v>
      </c>
      <c r="I65" s="39">
        <f t="shared" si="6"/>
        <v>0</v>
      </c>
      <c r="J65" s="40">
        <f t="shared" si="4"/>
        <v>0</v>
      </c>
      <c r="K65" s="41"/>
      <c r="L65" s="30"/>
      <c r="M65" s="42" t="b">
        <v>0</v>
      </c>
      <c r="N65" s="43"/>
      <c r="O65" s="30"/>
      <c r="P65" s="42" t="b">
        <v>0</v>
      </c>
      <c r="Q65" s="43"/>
      <c r="R65" s="30"/>
      <c r="S65" s="42" t="b">
        <v>0</v>
      </c>
      <c r="T65" s="43"/>
      <c r="U65" s="30"/>
      <c r="V65" s="42" t="b">
        <v>0</v>
      </c>
      <c r="W65" s="43"/>
      <c r="X65" s="30"/>
      <c r="Y65" s="42" t="b">
        <v>0</v>
      </c>
      <c r="Z65" s="43"/>
      <c r="AA65" s="30"/>
      <c r="AB65" s="42" t="b">
        <v>0</v>
      </c>
      <c r="AC65" s="43"/>
      <c r="AD65" s="30"/>
      <c r="AE65" s="42" t="b">
        <v>0</v>
      </c>
      <c r="AF65" s="43"/>
      <c r="AG65" s="30"/>
      <c r="AH65" s="42" t="b">
        <v>0</v>
      </c>
      <c r="AI65" s="43"/>
      <c r="AJ65" s="30"/>
      <c r="AK65" s="42" t="b">
        <v>0</v>
      </c>
      <c r="AL65" s="43"/>
      <c r="AM65" s="30"/>
      <c r="AN65" s="48" t="b">
        <v>0</v>
      </c>
    </row>
    <row r="66" spans="1:40" ht="13" x14ac:dyDescent="0.15">
      <c r="A66" s="21"/>
      <c r="B66" s="34"/>
      <c r="C66" s="34"/>
      <c r="D66" s="45" t="s">
        <v>316</v>
      </c>
      <c r="E66" s="36">
        <f t="shared" si="0"/>
        <v>0</v>
      </c>
      <c r="F66" s="37">
        <f t="shared" si="1"/>
        <v>0</v>
      </c>
      <c r="G66" s="37">
        <f t="shared" si="2"/>
        <v>0</v>
      </c>
      <c r="H66" s="38">
        <f t="shared" si="3"/>
        <v>0</v>
      </c>
      <c r="I66" s="39">
        <f t="shared" si="6"/>
        <v>0</v>
      </c>
      <c r="J66" s="40">
        <f t="shared" si="4"/>
        <v>0</v>
      </c>
      <c r="K66" s="41"/>
      <c r="L66" s="30"/>
      <c r="M66" s="42" t="b">
        <v>0</v>
      </c>
      <c r="N66" s="43"/>
      <c r="O66" s="30"/>
      <c r="P66" s="42" t="b">
        <v>0</v>
      </c>
      <c r="Q66" s="43"/>
      <c r="R66" s="30"/>
      <c r="S66" s="42" t="b">
        <v>0</v>
      </c>
      <c r="T66" s="43"/>
      <c r="U66" s="30"/>
      <c r="V66" s="42" t="b">
        <v>0</v>
      </c>
      <c r="W66" s="43"/>
      <c r="X66" s="30"/>
      <c r="Y66" s="42" t="b">
        <v>0</v>
      </c>
      <c r="Z66" s="43"/>
      <c r="AA66" s="30"/>
      <c r="AB66" s="42" t="b">
        <v>0</v>
      </c>
      <c r="AC66" s="43"/>
      <c r="AD66" s="30"/>
      <c r="AE66" s="42" t="b">
        <v>0</v>
      </c>
      <c r="AF66" s="43"/>
      <c r="AG66" s="30"/>
      <c r="AH66" s="42" t="b">
        <v>0</v>
      </c>
      <c r="AI66" s="43"/>
      <c r="AJ66" s="30"/>
      <c r="AK66" s="42" t="b">
        <v>0</v>
      </c>
      <c r="AL66" s="43"/>
      <c r="AM66" s="30"/>
      <c r="AN66" s="48" t="b">
        <v>0</v>
      </c>
    </row>
    <row r="67" spans="1:40" ht="13" x14ac:dyDescent="0.15">
      <c r="A67" s="21"/>
      <c r="B67" s="34"/>
      <c r="C67" s="34"/>
      <c r="D67" s="45" t="s">
        <v>316</v>
      </c>
      <c r="E67" s="36">
        <f t="shared" si="0"/>
        <v>0</v>
      </c>
      <c r="F67" s="37">
        <f t="shared" si="1"/>
        <v>0</v>
      </c>
      <c r="G67" s="37">
        <f t="shared" si="2"/>
        <v>0</v>
      </c>
      <c r="H67" s="38">
        <f t="shared" si="3"/>
        <v>0</v>
      </c>
      <c r="I67" s="39">
        <f t="shared" si="6"/>
        <v>0</v>
      </c>
      <c r="J67" s="40">
        <f t="shared" si="4"/>
        <v>0</v>
      </c>
      <c r="K67" s="41"/>
      <c r="L67" s="30"/>
      <c r="M67" s="42" t="b">
        <v>0</v>
      </c>
      <c r="N67" s="43"/>
      <c r="O67" s="30"/>
      <c r="P67" s="42" t="b">
        <v>0</v>
      </c>
      <c r="Q67" s="43"/>
      <c r="R67" s="30"/>
      <c r="S67" s="42" t="b">
        <v>0</v>
      </c>
      <c r="T67" s="43"/>
      <c r="U67" s="30"/>
      <c r="V67" s="42" t="b">
        <v>0</v>
      </c>
      <c r="W67" s="43"/>
      <c r="X67" s="30"/>
      <c r="Y67" s="42" t="b">
        <v>0</v>
      </c>
      <c r="Z67" s="43"/>
      <c r="AA67" s="30"/>
      <c r="AB67" s="42" t="b">
        <v>0</v>
      </c>
      <c r="AC67" s="43"/>
      <c r="AD67" s="30"/>
      <c r="AE67" s="42" t="b">
        <v>0</v>
      </c>
      <c r="AF67" s="43"/>
      <c r="AG67" s="30"/>
      <c r="AH67" s="42" t="b">
        <v>0</v>
      </c>
      <c r="AI67" s="43"/>
      <c r="AJ67" s="30"/>
      <c r="AK67" s="42" t="b">
        <v>0</v>
      </c>
      <c r="AL67" s="43"/>
      <c r="AM67" s="30"/>
      <c r="AN67" s="48" t="b">
        <v>0</v>
      </c>
    </row>
    <row r="68" spans="1:40" ht="13" x14ac:dyDescent="0.15">
      <c r="A68" s="21"/>
      <c r="B68" s="34"/>
      <c r="C68" s="34"/>
      <c r="D68" s="45" t="s">
        <v>316</v>
      </c>
      <c r="E68" s="36">
        <f t="shared" si="0"/>
        <v>0</v>
      </c>
      <c r="F68" s="37">
        <f t="shared" si="1"/>
        <v>0</v>
      </c>
      <c r="G68" s="37">
        <f t="shared" si="2"/>
        <v>0</v>
      </c>
      <c r="H68" s="38">
        <f t="shared" si="3"/>
        <v>0</v>
      </c>
      <c r="I68" s="39">
        <f t="shared" si="6"/>
        <v>0</v>
      </c>
      <c r="J68" s="40">
        <f t="shared" si="4"/>
        <v>0</v>
      </c>
      <c r="K68" s="41"/>
      <c r="L68" s="30"/>
      <c r="M68" s="42" t="b">
        <v>0</v>
      </c>
      <c r="N68" s="43"/>
      <c r="O68" s="30"/>
      <c r="P68" s="42" t="b">
        <v>0</v>
      </c>
      <c r="Q68" s="43"/>
      <c r="R68" s="30"/>
      <c r="S68" s="42" t="b">
        <v>0</v>
      </c>
      <c r="T68" s="43"/>
      <c r="U68" s="30"/>
      <c r="V68" s="42" t="b">
        <v>0</v>
      </c>
      <c r="W68" s="43"/>
      <c r="X68" s="30"/>
      <c r="Y68" s="42" t="b">
        <v>0</v>
      </c>
      <c r="Z68" s="43"/>
      <c r="AA68" s="30"/>
      <c r="AB68" s="42" t="b">
        <v>0</v>
      </c>
      <c r="AC68" s="43"/>
      <c r="AD68" s="30"/>
      <c r="AE68" s="42" t="b">
        <v>0</v>
      </c>
      <c r="AF68" s="43"/>
      <c r="AG68" s="30"/>
      <c r="AH68" s="42" t="b">
        <v>0</v>
      </c>
      <c r="AI68" s="43"/>
      <c r="AJ68" s="30"/>
      <c r="AK68" s="42" t="b">
        <v>0</v>
      </c>
      <c r="AL68" s="43"/>
      <c r="AM68" s="30"/>
      <c r="AN68" s="48" t="b">
        <v>0</v>
      </c>
    </row>
  </sheetData>
  <customSheetViews>
    <customSheetView guid="{288B6905-A0AC-444D-99DA-8E8948982A32}" filter="1" showAutoFilter="1">
      <pageMargins left="0.7" right="0.7" top="0.75" bottom="0.75" header="0.3" footer="0.3"/>
      <autoFilter ref="A6:A49" xr:uid="{D9D73936-86DA-A943-85D1-BC2956DAB398}">
        <filterColumn colId="0">
          <filters>
            <filter val="NTC1"/>
            <filter val="NTC2"/>
            <filter val="NTC3"/>
            <filter val="NTC4"/>
            <filter val="NTC5"/>
            <filter val="NTC6"/>
          </filters>
        </filterColumn>
      </autoFilter>
    </customSheetView>
  </customSheetViews>
  <mergeCells count="13">
    <mergeCell ref="AL5:AN5"/>
    <mergeCell ref="E5:H5"/>
    <mergeCell ref="I5:I6"/>
    <mergeCell ref="J5:J6"/>
    <mergeCell ref="K5:M5"/>
    <mergeCell ref="N5:P5"/>
    <mergeCell ref="Q5:S5"/>
    <mergeCell ref="T5:V5"/>
    <mergeCell ref="W5:Y5"/>
    <mergeCell ref="Z5:AB5"/>
    <mergeCell ref="AC5:AE5"/>
    <mergeCell ref="AF5:AH5"/>
    <mergeCell ref="AI5:AK5"/>
  </mergeCells>
  <conditionalFormatting sqref="F7:F68">
    <cfRule type="cellIs" dxfId="11" priority="1" operator="between">
      <formula>3</formula>
      <formula>4</formula>
    </cfRule>
    <cfRule type="cellIs" dxfId="10" priority="2" operator="between">
      <formula>1</formula>
      <formula>2</formula>
    </cfRule>
    <cfRule type="cellIs" dxfId="9" priority="3" operator="greaterThanOrEqual">
      <formula>5</formula>
    </cfRule>
  </conditionalFormatting>
  <dataValidations count="2">
    <dataValidation type="list" allowBlank="1" showErrorMessage="1" sqref="A7:A68" xr:uid="{00000000-0002-0000-0000-000000000000}">
      <formula1>"NTC1,NTC2,NTC3,NTC4,NTC5,NTC6"</formula1>
    </dataValidation>
    <dataValidation type="list" allowBlank="1" showErrorMessage="1" sqref="L7:L68 O7:O68 R7:R68 U7:U68 X7:X68 AA7:AA68 AD7:AD68 AG7:AG68 AJ7:AJ68 AM7:AM68" xr:uid="{00000000-0002-0000-0000-000001000000}">
      <formula1>"AJ,AI,AM,Ent,Cg"</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Q53"/>
  <sheetViews>
    <sheetView showGridLines="0" workbookViewId="0">
      <pane xSplit="10" ySplit="6" topLeftCell="K7" activePane="bottomRight" state="frozen"/>
      <selection pane="topRight" activeCell="K1" sqref="K1"/>
      <selection pane="bottomLeft" activeCell="A7" sqref="A7"/>
      <selection pane="bottomRight" activeCell="D31" sqref="D31"/>
    </sheetView>
  </sheetViews>
  <sheetFormatPr baseColWidth="10" defaultColWidth="12.6640625" defaultRowHeight="15.75" customHeight="1" x14ac:dyDescent="0.15"/>
  <cols>
    <col min="1" max="1" width="10.5" customWidth="1"/>
    <col min="2" max="2" width="17.33203125" customWidth="1"/>
    <col min="3" max="3" width="14.33203125" customWidth="1"/>
    <col min="4" max="4" width="6.5" customWidth="1"/>
    <col min="5" max="8" width="4.1640625" customWidth="1"/>
    <col min="9" max="9" width="5.6640625" customWidth="1"/>
    <col min="10" max="10" width="7.5" customWidth="1"/>
    <col min="11" max="11" width="10.6640625" customWidth="1"/>
    <col min="12" max="12" width="8.6640625" customWidth="1"/>
    <col min="13" max="14" width="10.6640625" customWidth="1"/>
    <col min="15" max="15" width="8.6640625" customWidth="1"/>
    <col min="16" max="17" width="10.6640625" customWidth="1"/>
    <col min="18" max="18" width="8.83203125" customWidth="1"/>
    <col min="19" max="19" width="10.6640625" customWidth="1"/>
    <col min="21" max="21" width="9.1640625" customWidth="1"/>
    <col min="24" max="24" width="9.6640625" customWidth="1"/>
    <col min="27" max="27" width="9.6640625" customWidth="1"/>
    <col min="30" max="30" width="10.1640625" customWidth="1"/>
    <col min="33" max="33" width="10.6640625" customWidth="1"/>
    <col min="36" max="36" width="10.33203125" customWidth="1"/>
    <col min="39" max="39" width="10.33203125" customWidth="1"/>
  </cols>
  <sheetData>
    <row r="1" spans="1:43" ht="22.5" customHeight="1" x14ac:dyDescent="0.15"/>
    <row r="2" spans="1:43" ht="16" x14ac:dyDescent="0.2">
      <c r="A2" s="1" t="s">
        <v>103</v>
      </c>
      <c r="C2" s="2">
        <v>546</v>
      </c>
    </row>
    <row r="5" spans="1:43" ht="13" x14ac:dyDescent="0.15">
      <c r="A5" s="3"/>
      <c r="B5" s="4"/>
      <c r="C5" s="3"/>
      <c r="D5" s="5"/>
      <c r="E5" s="74" t="s">
        <v>1</v>
      </c>
      <c r="F5" s="72"/>
      <c r="G5" s="72"/>
      <c r="H5" s="73"/>
      <c r="I5" s="75" t="s">
        <v>2</v>
      </c>
      <c r="J5" s="77" t="s">
        <v>3</v>
      </c>
      <c r="K5" s="74" t="s">
        <v>4</v>
      </c>
      <c r="L5" s="72"/>
      <c r="M5" s="73"/>
      <c r="N5" s="71" t="s">
        <v>5</v>
      </c>
      <c r="O5" s="72"/>
      <c r="P5" s="73"/>
      <c r="Q5" s="71" t="s">
        <v>6</v>
      </c>
      <c r="R5" s="72"/>
      <c r="S5" s="73"/>
      <c r="T5" s="71" t="s">
        <v>7</v>
      </c>
      <c r="U5" s="72"/>
      <c r="V5" s="73"/>
      <c r="W5" s="71" t="s">
        <v>8</v>
      </c>
      <c r="X5" s="72"/>
      <c r="Y5" s="73"/>
      <c r="Z5" s="71" t="s">
        <v>9</v>
      </c>
      <c r="AA5" s="72"/>
      <c r="AB5" s="73"/>
      <c r="AC5" s="71" t="s">
        <v>10</v>
      </c>
      <c r="AD5" s="72"/>
      <c r="AE5" s="73"/>
      <c r="AF5" s="71" t="s">
        <v>11</v>
      </c>
      <c r="AG5" s="72"/>
      <c r="AH5" s="73"/>
      <c r="AI5" s="71" t="s">
        <v>12</v>
      </c>
      <c r="AJ5" s="72"/>
      <c r="AK5" s="73"/>
      <c r="AL5" s="71" t="s">
        <v>13</v>
      </c>
      <c r="AM5" s="72"/>
      <c r="AN5" s="73"/>
      <c r="AO5" s="71" t="s">
        <v>104</v>
      </c>
      <c r="AP5" s="72"/>
      <c r="AQ5" s="73"/>
    </row>
    <row r="6" spans="1:43" ht="13" x14ac:dyDescent="0.15">
      <c r="A6" s="7" t="s">
        <v>14</v>
      </c>
      <c r="B6" s="8" t="s">
        <v>15</v>
      </c>
      <c r="C6" s="7" t="s">
        <v>16</v>
      </c>
      <c r="D6" s="9" t="s">
        <v>17</v>
      </c>
      <c r="E6" s="10" t="s">
        <v>18</v>
      </c>
      <c r="F6" s="11" t="s">
        <v>19</v>
      </c>
      <c r="G6" s="11" t="s">
        <v>20</v>
      </c>
      <c r="H6" s="12" t="s">
        <v>21</v>
      </c>
      <c r="I6" s="76"/>
      <c r="J6" s="76"/>
      <c r="K6" s="13" t="s">
        <v>22</v>
      </c>
      <c r="L6" s="14" t="s">
        <v>23</v>
      </c>
      <c r="M6" s="15" t="s">
        <v>24</v>
      </c>
      <c r="N6" s="16" t="s">
        <v>22</v>
      </c>
      <c r="O6" s="14" t="s">
        <v>23</v>
      </c>
      <c r="P6" s="15" t="s">
        <v>24</v>
      </c>
      <c r="Q6" s="16" t="s">
        <v>22</v>
      </c>
      <c r="R6" s="14" t="s">
        <v>23</v>
      </c>
      <c r="S6" s="17" t="s">
        <v>25</v>
      </c>
      <c r="T6" s="16" t="s">
        <v>22</v>
      </c>
      <c r="U6" s="14" t="s">
        <v>23</v>
      </c>
      <c r="V6" s="17" t="s">
        <v>25</v>
      </c>
      <c r="W6" s="16" t="s">
        <v>22</v>
      </c>
      <c r="X6" s="14" t="s">
        <v>23</v>
      </c>
      <c r="Y6" s="18" t="s">
        <v>26</v>
      </c>
      <c r="Z6" s="16" t="s">
        <v>22</v>
      </c>
      <c r="AA6" s="14" t="s">
        <v>23</v>
      </c>
      <c r="AB6" s="18" t="s">
        <v>26</v>
      </c>
      <c r="AC6" s="16" t="s">
        <v>22</v>
      </c>
      <c r="AD6" s="14" t="s">
        <v>23</v>
      </c>
      <c r="AE6" s="18" t="s">
        <v>26</v>
      </c>
      <c r="AF6" s="16" t="s">
        <v>22</v>
      </c>
      <c r="AG6" s="14" t="s">
        <v>23</v>
      </c>
      <c r="AH6" s="19" t="s">
        <v>27</v>
      </c>
      <c r="AI6" s="16" t="s">
        <v>22</v>
      </c>
      <c r="AJ6" s="14" t="s">
        <v>23</v>
      </c>
      <c r="AK6" s="19" t="s">
        <v>27</v>
      </c>
      <c r="AL6" s="16" t="s">
        <v>22</v>
      </c>
      <c r="AM6" s="14" t="s">
        <v>23</v>
      </c>
      <c r="AN6" s="19" t="s">
        <v>27</v>
      </c>
      <c r="AO6" s="16" t="s">
        <v>22</v>
      </c>
      <c r="AP6" s="14" t="s">
        <v>23</v>
      </c>
      <c r="AQ6" s="20"/>
    </row>
    <row r="7" spans="1:43" ht="13" hidden="1" x14ac:dyDescent="0.15">
      <c r="A7" s="21"/>
      <c r="B7" s="22"/>
      <c r="C7" s="22"/>
      <c r="D7" s="23"/>
      <c r="E7" s="24">
        <f t="shared" ref="E7:E41" si="0">COUNTIF(L7:AM7,"AJ")</f>
        <v>0</v>
      </c>
      <c r="F7" s="25">
        <f t="shared" ref="F7:F41" si="1">COUNTIF(L7:AN7,"AI")</f>
        <v>0</v>
      </c>
      <c r="G7" s="25">
        <f t="shared" ref="G7:G41" si="2">COUNTIF(L7:AO7,"AM")</f>
        <v>0</v>
      </c>
      <c r="H7" s="26">
        <f t="shared" ref="H7:H41" si="3">COUNTIF(O7:AP7,"Ent")</f>
        <v>0</v>
      </c>
      <c r="I7" s="27">
        <f>SUM(E7:H7)*7</f>
        <v>0</v>
      </c>
      <c r="J7" s="28">
        <f t="shared" ref="J7:J41" si="4">I7/$C$2</f>
        <v>0</v>
      </c>
      <c r="K7" s="29"/>
      <c r="L7" s="30"/>
      <c r="M7" s="31" t="b">
        <v>0</v>
      </c>
      <c r="N7" s="32"/>
      <c r="O7" s="30"/>
      <c r="P7" s="31" t="b">
        <v>0</v>
      </c>
      <c r="Q7" s="32"/>
      <c r="R7" s="30"/>
      <c r="S7" s="31" t="b">
        <v>0</v>
      </c>
      <c r="T7" s="32"/>
      <c r="U7" s="30"/>
      <c r="V7" s="31" t="b">
        <v>0</v>
      </c>
      <c r="W7" s="32"/>
      <c r="X7" s="30"/>
      <c r="Y7" s="31" t="b">
        <v>0</v>
      </c>
      <c r="Z7" s="32"/>
      <c r="AA7" s="30"/>
      <c r="AB7" s="31" t="b">
        <v>0</v>
      </c>
      <c r="AC7" s="32"/>
      <c r="AD7" s="30"/>
      <c r="AE7" s="31" t="b">
        <v>0</v>
      </c>
      <c r="AF7" s="32"/>
      <c r="AG7" s="30"/>
      <c r="AH7" s="31" t="b">
        <v>0</v>
      </c>
      <c r="AI7" s="32"/>
      <c r="AJ7" s="30"/>
      <c r="AK7" s="31" t="b">
        <v>0</v>
      </c>
      <c r="AL7" s="32"/>
      <c r="AM7" s="30"/>
      <c r="AN7" s="49" t="b">
        <v>0</v>
      </c>
      <c r="AO7" s="20"/>
      <c r="AP7" s="20"/>
      <c r="AQ7" s="20"/>
    </row>
    <row r="8" spans="1:43" ht="13" hidden="1" x14ac:dyDescent="0.15">
      <c r="A8" s="21"/>
      <c r="B8" s="34"/>
      <c r="C8" s="34"/>
      <c r="D8" s="35"/>
      <c r="E8" s="36">
        <f t="shared" si="0"/>
        <v>0</v>
      </c>
      <c r="F8" s="37">
        <f t="shared" si="1"/>
        <v>0</v>
      </c>
      <c r="G8" s="37">
        <f t="shared" si="2"/>
        <v>0</v>
      </c>
      <c r="H8" s="38">
        <f t="shared" si="3"/>
        <v>0</v>
      </c>
      <c r="I8" s="39">
        <f t="shared" ref="I8:I16" si="5">SUM(E8:H8)</f>
        <v>0</v>
      </c>
      <c r="J8" s="40">
        <f t="shared" si="4"/>
        <v>0</v>
      </c>
      <c r="K8" s="41"/>
      <c r="L8" s="30"/>
      <c r="M8" s="42" t="b">
        <v>0</v>
      </c>
      <c r="N8" s="43"/>
      <c r="O8" s="30"/>
      <c r="P8" s="42" t="b">
        <v>0</v>
      </c>
      <c r="Q8" s="43"/>
      <c r="R8" s="30"/>
      <c r="S8" s="42" t="b">
        <v>0</v>
      </c>
      <c r="T8" s="43"/>
      <c r="U8" s="30"/>
      <c r="V8" s="42" t="b">
        <v>0</v>
      </c>
      <c r="W8" s="43"/>
      <c r="X8" s="30"/>
      <c r="Y8" s="42" t="b">
        <v>0</v>
      </c>
      <c r="Z8" s="43"/>
      <c r="AA8" s="30"/>
      <c r="AB8" s="42" t="b">
        <v>0</v>
      </c>
      <c r="AC8" s="43"/>
      <c r="AD8" s="30"/>
      <c r="AE8" s="42" t="b">
        <v>0</v>
      </c>
      <c r="AF8" s="43"/>
      <c r="AG8" s="30"/>
      <c r="AH8" s="42" t="b">
        <v>0</v>
      </c>
      <c r="AI8" s="43"/>
      <c r="AJ8" s="30"/>
      <c r="AK8" s="42" t="b">
        <v>0</v>
      </c>
      <c r="AL8" s="43"/>
      <c r="AM8" s="30"/>
      <c r="AN8" s="48" t="b">
        <v>0</v>
      </c>
      <c r="AO8" s="20"/>
      <c r="AP8" s="20"/>
      <c r="AQ8" s="20"/>
    </row>
    <row r="9" spans="1:43" ht="13" hidden="1" x14ac:dyDescent="0.15">
      <c r="A9" s="21"/>
      <c r="B9" s="34"/>
      <c r="C9" s="34"/>
      <c r="D9" s="35"/>
      <c r="E9" s="36">
        <f t="shared" si="0"/>
        <v>0</v>
      </c>
      <c r="F9" s="37">
        <f t="shared" si="1"/>
        <v>0</v>
      </c>
      <c r="G9" s="37">
        <f t="shared" si="2"/>
        <v>0</v>
      </c>
      <c r="H9" s="38">
        <f t="shared" si="3"/>
        <v>0</v>
      </c>
      <c r="I9" s="39">
        <f t="shared" si="5"/>
        <v>0</v>
      </c>
      <c r="J9" s="40">
        <f t="shared" si="4"/>
        <v>0</v>
      </c>
      <c r="K9" s="41"/>
      <c r="L9" s="30"/>
      <c r="M9" s="42" t="b">
        <v>0</v>
      </c>
      <c r="N9" s="43"/>
      <c r="O9" s="30"/>
      <c r="P9" s="42" t="b">
        <v>0</v>
      </c>
      <c r="Q9" s="43"/>
      <c r="R9" s="30"/>
      <c r="S9" s="42" t="b">
        <v>0</v>
      </c>
      <c r="T9" s="43"/>
      <c r="U9" s="30"/>
      <c r="V9" s="42" t="b">
        <v>0</v>
      </c>
      <c r="W9" s="43"/>
      <c r="X9" s="30"/>
      <c r="Y9" s="42" t="b">
        <v>0</v>
      </c>
      <c r="Z9" s="43"/>
      <c r="AA9" s="30"/>
      <c r="AB9" s="42" t="b">
        <v>0</v>
      </c>
      <c r="AC9" s="43"/>
      <c r="AD9" s="30"/>
      <c r="AE9" s="42" t="b">
        <v>0</v>
      </c>
      <c r="AF9" s="43"/>
      <c r="AG9" s="30"/>
      <c r="AH9" s="42" t="b">
        <v>0</v>
      </c>
      <c r="AI9" s="43"/>
      <c r="AJ9" s="30"/>
      <c r="AK9" s="42" t="b">
        <v>0</v>
      </c>
      <c r="AL9" s="43"/>
      <c r="AM9" s="30"/>
      <c r="AN9" s="48" t="b">
        <v>0</v>
      </c>
      <c r="AO9" s="20"/>
      <c r="AP9" s="20"/>
      <c r="AQ9" s="20"/>
    </row>
    <row r="10" spans="1:43" ht="13" hidden="1" x14ac:dyDescent="0.15">
      <c r="A10" s="21"/>
      <c r="B10" s="34"/>
      <c r="C10" s="34"/>
      <c r="D10" s="35"/>
      <c r="E10" s="36">
        <f t="shared" si="0"/>
        <v>0</v>
      </c>
      <c r="F10" s="37">
        <f t="shared" si="1"/>
        <v>0</v>
      </c>
      <c r="G10" s="37">
        <f t="shared" si="2"/>
        <v>0</v>
      </c>
      <c r="H10" s="38">
        <f t="shared" si="3"/>
        <v>0</v>
      </c>
      <c r="I10" s="39">
        <f t="shared" si="5"/>
        <v>0</v>
      </c>
      <c r="J10" s="40">
        <f t="shared" si="4"/>
        <v>0</v>
      </c>
      <c r="K10" s="41"/>
      <c r="L10" s="30"/>
      <c r="M10" s="42" t="b">
        <v>0</v>
      </c>
      <c r="N10" s="43"/>
      <c r="O10" s="30"/>
      <c r="P10" s="42" t="b">
        <v>0</v>
      </c>
      <c r="Q10" s="43"/>
      <c r="R10" s="30"/>
      <c r="S10" s="42" t="b">
        <v>0</v>
      </c>
      <c r="T10" s="43"/>
      <c r="U10" s="30"/>
      <c r="V10" s="42" t="b">
        <v>0</v>
      </c>
      <c r="W10" s="43"/>
      <c r="X10" s="30"/>
      <c r="Y10" s="42" t="b">
        <v>0</v>
      </c>
      <c r="Z10" s="43"/>
      <c r="AA10" s="30"/>
      <c r="AB10" s="42" t="b">
        <v>0</v>
      </c>
      <c r="AC10" s="43"/>
      <c r="AD10" s="30"/>
      <c r="AE10" s="42" t="b">
        <v>0</v>
      </c>
      <c r="AF10" s="43"/>
      <c r="AG10" s="30"/>
      <c r="AH10" s="42" t="b">
        <v>0</v>
      </c>
      <c r="AI10" s="43"/>
      <c r="AJ10" s="30"/>
      <c r="AK10" s="42" t="b">
        <v>0</v>
      </c>
      <c r="AL10" s="43"/>
      <c r="AM10" s="30"/>
      <c r="AN10" s="48" t="b">
        <v>0</v>
      </c>
      <c r="AO10" s="20"/>
      <c r="AP10" s="20"/>
      <c r="AQ10" s="20"/>
    </row>
    <row r="11" spans="1:43" ht="13" hidden="1" x14ac:dyDescent="0.15">
      <c r="A11" s="21"/>
      <c r="B11" s="34"/>
      <c r="C11" s="34"/>
      <c r="D11" s="35"/>
      <c r="E11" s="36">
        <f t="shared" si="0"/>
        <v>0</v>
      </c>
      <c r="F11" s="37">
        <f t="shared" si="1"/>
        <v>0</v>
      </c>
      <c r="G11" s="37">
        <f t="shared" si="2"/>
        <v>0</v>
      </c>
      <c r="H11" s="38">
        <f t="shared" si="3"/>
        <v>0</v>
      </c>
      <c r="I11" s="39">
        <f t="shared" si="5"/>
        <v>0</v>
      </c>
      <c r="J11" s="40">
        <f t="shared" si="4"/>
        <v>0</v>
      </c>
      <c r="K11" s="41"/>
      <c r="L11" s="30"/>
      <c r="M11" s="42" t="b">
        <v>0</v>
      </c>
      <c r="N11" s="43"/>
      <c r="O11" s="30"/>
      <c r="P11" s="42" t="b">
        <v>0</v>
      </c>
      <c r="Q11" s="43"/>
      <c r="R11" s="30"/>
      <c r="S11" s="42" t="b">
        <v>0</v>
      </c>
      <c r="T11" s="43"/>
      <c r="U11" s="30"/>
      <c r="V11" s="42" t="b">
        <v>0</v>
      </c>
      <c r="W11" s="43"/>
      <c r="X11" s="30"/>
      <c r="Y11" s="42" t="b">
        <v>0</v>
      </c>
      <c r="Z11" s="43"/>
      <c r="AA11" s="30"/>
      <c r="AB11" s="42" t="b">
        <v>0</v>
      </c>
      <c r="AC11" s="43"/>
      <c r="AD11" s="30"/>
      <c r="AE11" s="42" t="b">
        <v>0</v>
      </c>
      <c r="AF11" s="43"/>
      <c r="AG11" s="30"/>
      <c r="AH11" s="42" t="b">
        <v>0</v>
      </c>
      <c r="AI11" s="43"/>
      <c r="AJ11" s="30"/>
      <c r="AK11" s="42" t="b">
        <v>0</v>
      </c>
      <c r="AL11" s="43"/>
      <c r="AM11" s="30"/>
      <c r="AN11" s="48" t="b">
        <v>0</v>
      </c>
      <c r="AO11" s="20"/>
      <c r="AP11" s="20"/>
      <c r="AQ11" s="20"/>
    </row>
    <row r="12" spans="1:43" ht="13" hidden="1" x14ac:dyDescent="0.15">
      <c r="A12" s="21"/>
      <c r="B12" s="34"/>
      <c r="C12" s="34"/>
      <c r="D12" s="35"/>
      <c r="E12" s="36">
        <f t="shared" si="0"/>
        <v>0</v>
      </c>
      <c r="F12" s="37">
        <f t="shared" si="1"/>
        <v>0</v>
      </c>
      <c r="G12" s="37">
        <f t="shared" si="2"/>
        <v>0</v>
      </c>
      <c r="H12" s="38">
        <f t="shared" si="3"/>
        <v>0</v>
      </c>
      <c r="I12" s="39">
        <f t="shared" si="5"/>
        <v>0</v>
      </c>
      <c r="J12" s="40">
        <f t="shared" si="4"/>
        <v>0</v>
      </c>
      <c r="K12" s="41"/>
      <c r="L12" s="30"/>
      <c r="M12" s="42" t="b">
        <v>0</v>
      </c>
      <c r="N12" s="43"/>
      <c r="O12" s="30"/>
      <c r="P12" s="42" t="b">
        <v>0</v>
      </c>
      <c r="Q12" s="43"/>
      <c r="R12" s="30"/>
      <c r="S12" s="42" t="b">
        <v>0</v>
      </c>
      <c r="T12" s="43"/>
      <c r="U12" s="30"/>
      <c r="V12" s="42" t="b">
        <v>0</v>
      </c>
      <c r="W12" s="43"/>
      <c r="X12" s="30"/>
      <c r="Y12" s="42" t="b">
        <v>0</v>
      </c>
      <c r="Z12" s="43"/>
      <c r="AA12" s="30"/>
      <c r="AB12" s="42" t="b">
        <v>0</v>
      </c>
      <c r="AC12" s="43"/>
      <c r="AD12" s="30"/>
      <c r="AE12" s="42" t="b">
        <v>0</v>
      </c>
      <c r="AF12" s="43"/>
      <c r="AG12" s="30"/>
      <c r="AH12" s="42" t="b">
        <v>0</v>
      </c>
      <c r="AI12" s="43"/>
      <c r="AJ12" s="30"/>
      <c r="AK12" s="42" t="b">
        <v>0</v>
      </c>
      <c r="AL12" s="43"/>
      <c r="AM12" s="30"/>
      <c r="AN12" s="48" t="b">
        <v>0</v>
      </c>
      <c r="AO12" s="20"/>
      <c r="AP12" s="20"/>
      <c r="AQ12" s="20"/>
    </row>
    <row r="13" spans="1:43" ht="13" hidden="1" x14ac:dyDescent="0.15">
      <c r="A13" s="21"/>
      <c r="B13" s="34"/>
      <c r="C13" s="34"/>
      <c r="D13" s="35"/>
      <c r="E13" s="36">
        <f t="shared" si="0"/>
        <v>0</v>
      </c>
      <c r="F13" s="37">
        <f t="shared" si="1"/>
        <v>0</v>
      </c>
      <c r="G13" s="37">
        <f t="shared" si="2"/>
        <v>0</v>
      </c>
      <c r="H13" s="38">
        <f t="shared" si="3"/>
        <v>0</v>
      </c>
      <c r="I13" s="39">
        <f t="shared" si="5"/>
        <v>0</v>
      </c>
      <c r="J13" s="40">
        <f t="shared" si="4"/>
        <v>0</v>
      </c>
      <c r="K13" s="41"/>
      <c r="L13" s="30"/>
      <c r="M13" s="42" t="b">
        <v>0</v>
      </c>
      <c r="N13" s="43"/>
      <c r="O13" s="30"/>
      <c r="P13" s="42" t="b">
        <v>0</v>
      </c>
      <c r="Q13" s="43"/>
      <c r="R13" s="30"/>
      <c r="S13" s="42" t="b">
        <v>0</v>
      </c>
      <c r="T13" s="43"/>
      <c r="U13" s="30"/>
      <c r="V13" s="42" t="b">
        <v>0</v>
      </c>
      <c r="W13" s="43"/>
      <c r="X13" s="30"/>
      <c r="Y13" s="42" t="b">
        <v>0</v>
      </c>
      <c r="Z13" s="43"/>
      <c r="AA13" s="30"/>
      <c r="AB13" s="42" t="b">
        <v>0</v>
      </c>
      <c r="AC13" s="43"/>
      <c r="AD13" s="30"/>
      <c r="AE13" s="42" t="b">
        <v>0</v>
      </c>
      <c r="AF13" s="43"/>
      <c r="AG13" s="30"/>
      <c r="AH13" s="42" t="b">
        <v>0</v>
      </c>
      <c r="AI13" s="43"/>
      <c r="AJ13" s="30"/>
      <c r="AK13" s="42" t="b">
        <v>0</v>
      </c>
      <c r="AL13" s="43"/>
      <c r="AM13" s="30"/>
      <c r="AN13" s="48" t="b">
        <v>0</v>
      </c>
      <c r="AO13" s="20"/>
      <c r="AP13" s="20"/>
      <c r="AQ13" s="20"/>
    </row>
    <row r="14" spans="1:43" ht="13" hidden="1" x14ac:dyDescent="0.15">
      <c r="A14" s="21"/>
      <c r="B14" s="34"/>
      <c r="C14" s="34"/>
      <c r="D14" s="35"/>
      <c r="E14" s="36">
        <f t="shared" si="0"/>
        <v>0</v>
      </c>
      <c r="F14" s="37">
        <f t="shared" si="1"/>
        <v>0</v>
      </c>
      <c r="G14" s="37">
        <f t="shared" si="2"/>
        <v>0</v>
      </c>
      <c r="H14" s="38">
        <f t="shared" si="3"/>
        <v>0</v>
      </c>
      <c r="I14" s="39">
        <f t="shared" si="5"/>
        <v>0</v>
      </c>
      <c r="J14" s="40">
        <f t="shared" si="4"/>
        <v>0</v>
      </c>
      <c r="K14" s="41"/>
      <c r="L14" s="30"/>
      <c r="M14" s="42" t="b">
        <v>0</v>
      </c>
      <c r="N14" s="43"/>
      <c r="O14" s="30"/>
      <c r="P14" s="42" t="b">
        <v>0</v>
      </c>
      <c r="Q14" s="43"/>
      <c r="R14" s="30"/>
      <c r="S14" s="42" t="b">
        <v>0</v>
      </c>
      <c r="T14" s="43"/>
      <c r="U14" s="30"/>
      <c r="V14" s="42" t="b">
        <v>0</v>
      </c>
      <c r="W14" s="43"/>
      <c r="X14" s="30"/>
      <c r="Y14" s="42" t="b">
        <v>0</v>
      </c>
      <c r="Z14" s="43"/>
      <c r="AA14" s="30"/>
      <c r="AB14" s="42" t="b">
        <v>0</v>
      </c>
      <c r="AC14" s="43"/>
      <c r="AD14" s="30"/>
      <c r="AE14" s="42" t="b">
        <v>0</v>
      </c>
      <c r="AF14" s="43"/>
      <c r="AG14" s="30"/>
      <c r="AH14" s="42" t="b">
        <v>0</v>
      </c>
      <c r="AI14" s="43"/>
      <c r="AJ14" s="30"/>
      <c r="AK14" s="42" t="b">
        <v>0</v>
      </c>
      <c r="AL14" s="43"/>
      <c r="AM14" s="30"/>
      <c r="AN14" s="48" t="b">
        <v>0</v>
      </c>
      <c r="AO14" s="20"/>
      <c r="AP14" s="20"/>
      <c r="AQ14" s="20"/>
    </row>
    <row r="15" spans="1:43" ht="13" hidden="1" x14ac:dyDescent="0.15">
      <c r="A15" s="21"/>
      <c r="B15" s="34"/>
      <c r="C15" s="34"/>
      <c r="D15" s="35"/>
      <c r="E15" s="36">
        <f t="shared" si="0"/>
        <v>0</v>
      </c>
      <c r="F15" s="37">
        <f t="shared" si="1"/>
        <v>0</v>
      </c>
      <c r="G15" s="37">
        <f t="shared" si="2"/>
        <v>0</v>
      </c>
      <c r="H15" s="38">
        <f t="shared" si="3"/>
        <v>0</v>
      </c>
      <c r="I15" s="39">
        <f t="shared" si="5"/>
        <v>0</v>
      </c>
      <c r="J15" s="40">
        <f t="shared" si="4"/>
        <v>0</v>
      </c>
      <c r="K15" s="41"/>
      <c r="L15" s="30"/>
      <c r="M15" s="42" t="b">
        <v>0</v>
      </c>
      <c r="N15" s="43"/>
      <c r="O15" s="30"/>
      <c r="P15" s="42" t="b">
        <v>0</v>
      </c>
      <c r="Q15" s="43"/>
      <c r="R15" s="30"/>
      <c r="S15" s="42" t="b">
        <v>0</v>
      </c>
      <c r="T15" s="43"/>
      <c r="U15" s="30"/>
      <c r="V15" s="42" t="b">
        <v>0</v>
      </c>
      <c r="W15" s="43"/>
      <c r="X15" s="30"/>
      <c r="Y15" s="42" t="b">
        <v>0</v>
      </c>
      <c r="Z15" s="43"/>
      <c r="AA15" s="30"/>
      <c r="AB15" s="42" t="b">
        <v>0</v>
      </c>
      <c r="AC15" s="43"/>
      <c r="AD15" s="30"/>
      <c r="AE15" s="42" t="b">
        <v>0</v>
      </c>
      <c r="AF15" s="43"/>
      <c r="AG15" s="30"/>
      <c r="AH15" s="42" t="b">
        <v>0</v>
      </c>
      <c r="AI15" s="43"/>
      <c r="AJ15" s="30"/>
      <c r="AK15" s="42" t="b">
        <v>0</v>
      </c>
      <c r="AL15" s="43"/>
      <c r="AM15" s="30"/>
      <c r="AN15" s="48" t="b">
        <v>0</v>
      </c>
      <c r="AO15" s="20"/>
      <c r="AP15" s="20"/>
      <c r="AQ15" s="20"/>
    </row>
    <row r="16" spans="1:43" ht="13" hidden="1" x14ac:dyDescent="0.15">
      <c r="A16" s="21"/>
      <c r="B16" s="34"/>
      <c r="C16" s="34"/>
      <c r="D16" s="35"/>
      <c r="E16" s="36">
        <f t="shared" si="0"/>
        <v>0</v>
      </c>
      <c r="F16" s="37">
        <f t="shared" si="1"/>
        <v>0</v>
      </c>
      <c r="G16" s="37">
        <f t="shared" si="2"/>
        <v>0</v>
      </c>
      <c r="H16" s="38">
        <f t="shared" si="3"/>
        <v>0</v>
      </c>
      <c r="I16" s="39">
        <f t="shared" si="5"/>
        <v>0</v>
      </c>
      <c r="J16" s="40">
        <f t="shared" si="4"/>
        <v>0</v>
      </c>
      <c r="K16" s="41"/>
      <c r="L16" s="30"/>
      <c r="M16" s="42" t="b">
        <v>0</v>
      </c>
      <c r="N16" s="43"/>
      <c r="O16" s="30"/>
      <c r="P16" s="42" t="b">
        <v>0</v>
      </c>
      <c r="Q16" s="43"/>
      <c r="R16" s="30"/>
      <c r="S16" s="42" t="b">
        <v>0</v>
      </c>
      <c r="T16" s="43"/>
      <c r="U16" s="30"/>
      <c r="V16" s="42" t="b">
        <v>0</v>
      </c>
      <c r="W16" s="43"/>
      <c r="X16" s="30"/>
      <c r="Y16" s="42" t="b">
        <v>0</v>
      </c>
      <c r="Z16" s="43"/>
      <c r="AA16" s="30"/>
      <c r="AB16" s="42" t="b">
        <v>0</v>
      </c>
      <c r="AC16" s="43"/>
      <c r="AD16" s="30"/>
      <c r="AE16" s="42" t="b">
        <v>0</v>
      </c>
      <c r="AF16" s="43"/>
      <c r="AG16" s="30"/>
      <c r="AH16" s="42" t="b">
        <v>0</v>
      </c>
      <c r="AI16" s="43"/>
      <c r="AJ16" s="30"/>
      <c r="AK16" s="42" t="b">
        <v>0</v>
      </c>
      <c r="AL16" s="43"/>
      <c r="AM16" s="30"/>
      <c r="AN16" s="48" t="b">
        <v>0</v>
      </c>
      <c r="AO16" s="20"/>
      <c r="AP16" s="20"/>
      <c r="AQ16" s="20"/>
    </row>
    <row r="17" spans="1:43" ht="13" x14ac:dyDescent="0.15">
      <c r="A17" s="21" t="s">
        <v>105</v>
      </c>
      <c r="B17" s="34" t="s">
        <v>106</v>
      </c>
      <c r="C17" s="34" t="s">
        <v>107</v>
      </c>
      <c r="D17" s="45" t="s">
        <v>317</v>
      </c>
      <c r="E17" s="36">
        <f t="shared" si="0"/>
        <v>0</v>
      </c>
      <c r="F17" s="37">
        <f t="shared" si="1"/>
        <v>0</v>
      </c>
      <c r="G17" s="37">
        <f t="shared" si="2"/>
        <v>0</v>
      </c>
      <c r="H17" s="38">
        <f t="shared" si="3"/>
        <v>8</v>
      </c>
      <c r="I17" s="39">
        <f t="shared" ref="I17:I41" si="6">SUM(E17:H17)*7</f>
        <v>56</v>
      </c>
      <c r="J17" s="40">
        <f t="shared" si="4"/>
        <v>0.10256410256410256</v>
      </c>
      <c r="K17" s="46">
        <v>46057</v>
      </c>
      <c r="L17" s="30" t="s">
        <v>21</v>
      </c>
      <c r="M17" s="42" t="b">
        <v>0</v>
      </c>
      <c r="N17" s="47">
        <v>46064</v>
      </c>
      <c r="O17" s="30" t="s">
        <v>21</v>
      </c>
      <c r="P17" s="42" t="b">
        <v>0</v>
      </c>
      <c r="Q17" s="47">
        <v>46071</v>
      </c>
      <c r="R17" s="30" t="s">
        <v>21</v>
      </c>
      <c r="S17" s="42" t="b">
        <v>0</v>
      </c>
      <c r="T17" s="47">
        <v>46078</v>
      </c>
      <c r="U17" s="30" t="s">
        <v>21</v>
      </c>
      <c r="V17" s="42" t="b">
        <v>0</v>
      </c>
      <c r="W17" s="47">
        <v>46085</v>
      </c>
      <c r="X17" s="30" t="s">
        <v>21</v>
      </c>
      <c r="Y17" s="42" t="b">
        <v>0</v>
      </c>
      <c r="Z17" s="47">
        <v>46092</v>
      </c>
      <c r="AA17" s="30" t="s">
        <v>21</v>
      </c>
      <c r="AB17" s="42" t="b">
        <v>0</v>
      </c>
      <c r="AC17" s="47">
        <v>46099</v>
      </c>
      <c r="AD17" s="30" t="s">
        <v>21</v>
      </c>
      <c r="AE17" s="42" t="b">
        <v>1</v>
      </c>
      <c r="AF17" s="47">
        <v>46106</v>
      </c>
      <c r="AG17" s="30" t="s">
        <v>21</v>
      </c>
      <c r="AH17" s="42" t="b">
        <v>0</v>
      </c>
      <c r="AI17" s="47">
        <v>46120</v>
      </c>
      <c r="AJ17" s="30" t="s">
        <v>21</v>
      </c>
      <c r="AK17" s="42" t="b">
        <v>0</v>
      </c>
      <c r="AL17" s="43"/>
      <c r="AM17" s="30"/>
      <c r="AN17" s="48" t="b">
        <v>0</v>
      </c>
      <c r="AO17" s="43"/>
      <c r="AP17" s="30"/>
    </row>
    <row r="18" spans="1:43" ht="13" x14ac:dyDescent="0.15">
      <c r="A18" s="21" t="s">
        <v>105</v>
      </c>
      <c r="B18" s="34" t="s">
        <v>108</v>
      </c>
      <c r="C18" s="34" t="s">
        <v>109</v>
      </c>
      <c r="D18" s="45" t="s">
        <v>318</v>
      </c>
      <c r="E18" s="36">
        <f t="shared" si="0"/>
        <v>0</v>
      </c>
      <c r="F18" s="37">
        <f t="shared" si="1"/>
        <v>1</v>
      </c>
      <c r="G18" s="37">
        <f t="shared" si="2"/>
        <v>0</v>
      </c>
      <c r="H18" s="38">
        <f t="shared" si="3"/>
        <v>0</v>
      </c>
      <c r="I18" s="39">
        <f t="shared" si="6"/>
        <v>7</v>
      </c>
      <c r="J18" s="40">
        <f t="shared" si="4"/>
        <v>1.282051282051282E-2</v>
      </c>
      <c r="K18" s="46">
        <v>46148</v>
      </c>
      <c r="L18" s="30" t="s">
        <v>19</v>
      </c>
      <c r="M18" s="42" t="b">
        <v>0</v>
      </c>
      <c r="N18" s="43"/>
      <c r="O18" s="30"/>
      <c r="P18" s="42" t="b">
        <v>0</v>
      </c>
      <c r="Q18" s="43"/>
      <c r="R18" s="30"/>
      <c r="S18" s="42" t="b">
        <v>0</v>
      </c>
      <c r="T18" s="43"/>
      <c r="U18" s="30"/>
      <c r="V18" s="42" t="b">
        <v>0</v>
      </c>
      <c r="W18" s="43"/>
      <c r="X18" s="30"/>
      <c r="Y18" s="42" t="b">
        <v>0</v>
      </c>
      <c r="Z18" s="43"/>
      <c r="AA18" s="30"/>
      <c r="AB18" s="42" t="b">
        <v>0</v>
      </c>
      <c r="AC18" s="43"/>
      <c r="AD18" s="30"/>
      <c r="AE18" s="42" t="b">
        <v>0</v>
      </c>
      <c r="AF18" s="43"/>
      <c r="AG18" s="30"/>
      <c r="AH18" s="42" t="b">
        <v>0</v>
      </c>
      <c r="AI18" s="43"/>
      <c r="AJ18" s="30"/>
      <c r="AK18" s="42" t="b">
        <v>0</v>
      </c>
      <c r="AL18" s="43"/>
      <c r="AM18" s="30"/>
      <c r="AN18" s="48" t="b">
        <v>0</v>
      </c>
      <c r="AO18" s="43"/>
      <c r="AP18" s="30"/>
    </row>
    <row r="19" spans="1:43" ht="13" x14ac:dyDescent="0.15">
      <c r="A19" s="21" t="s">
        <v>105</v>
      </c>
      <c r="B19" s="34" t="s">
        <v>110</v>
      </c>
      <c r="C19" s="34" t="s">
        <v>111</v>
      </c>
      <c r="D19" s="45" t="s">
        <v>319</v>
      </c>
      <c r="E19" s="36">
        <f t="shared" si="0"/>
        <v>0</v>
      </c>
      <c r="F19" s="37">
        <f t="shared" si="1"/>
        <v>0</v>
      </c>
      <c r="G19" s="37">
        <f t="shared" si="2"/>
        <v>0</v>
      </c>
      <c r="H19" s="38">
        <f t="shared" si="3"/>
        <v>0</v>
      </c>
      <c r="I19" s="39">
        <f t="shared" si="6"/>
        <v>0</v>
      </c>
      <c r="J19" s="40">
        <f t="shared" si="4"/>
        <v>0</v>
      </c>
      <c r="K19" s="46"/>
      <c r="L19" s="30"/>
      <c r="M19" s="42" t="b">
        <v>0</v>
      </c>
      <c r="N19" s="43"/>
      <c r="O19" s="30"/>
      <c r="P19" s="42" t="b">
        <v>0</v>
      </c>
      <c r="Q19" s="43"/>
      <c r="R19" s="30"/>
      <c r="S19" s="42" t="b">
        <v>0</v>
      </c>
      <c r="T19" s="43"/>
      <c r="U19" s="30"/>
      <c r="V19" s="42" t="b">
        <v>0</v>
      </c>
      <c r="W19" s="43"/>
      <c r="X19" s="30"/>
      <c r="Y19" s="42" t="b">
        <v>0</v>
      </c>
      <c r="Z19" s="43"/>
      <c r="AA19" s="30"/>
      <c r="AB19" s="42" t="b">
        <v>0</v>
      </c>
      <c r="AC19" s="43"/>
      <c r="AD19" s="30"/>
      <c r="AE19" s="42" t="b">
        <v>0</v>
      </c>
      <c r="AF19" s="43"/>
      <c r="AG19" s="30"/>
      <c r="AH19" s="42" t="b">
        <v>0</v>
      </c>
      <c r="AI19" s="43"/>
      <c r="AJ19" s="30"/>
      <c r="AK19" s="42" t="b">
        <v>0</v>
      </c>
      <c r="AL19" s="43"/>
      <c r="AM19" s="30"/>
      <c r="AN19" s="48" t="b">
        <v>0</v>
      </c>
      <c r="AO19" s="43"/>
      <c r="AP19" s="30"/>
    </row>
    <row r="20" spans="1:43" ht="13" x14ac:dyDescent="0.15">
      <c r="A20" s="21" t="s">
        <v>105</v>
      </c>
      <c r="B20" s="34" t="s">
        <v>112</v>
      </c>
      <c r="C20" s="34" t="s">
        <v>113</v>
      </c>
      <c r="D20" s="45" t="s">
        <v>319</v>
      </c>
      <c r="E20" s="36">
        <f t="shared" si="0"/>
        <v>0</v>
      </c>
      <c r="F20" s="37">
        <f t="shared" si="1"/>
        <v>0</v>
      </c>
      <c r="G20" s="37">
        <f t="shared" si="2"/>
        <v>0</v>
      </c>
      <c r="H20" s="38">
        <f t="shared" si="3"/>
        <v>0</v>
      </c>
      <c r="I20" s="39">
        <f t="shared" si="6"/>
        <v>0</v>
      </c>
      <c r="J20" s="40">
        <f t="shared" si="4"/>
        <v>0</v>
      </c>
      <c r="K20" s="46">
        <v>46085</v>
      </c>
      <c r="L20" s="30" t="s">
        <v>21</v>
      </c>
      <c r="M20" s="42" t="b">
        <v>1</v>
      </c>
      <c r="N20" s="43"/>
      <c r="O20" s="30"/>
      <c r="P20" s="42" t="b">
        <v>0</v>
      </c>
      <c r="Q20" s="43"/>
      <c r="R20" s="30"/>
      <c r="S20" s="42" t="b">
        <v>0</v>
      </c>
      <c r="T20" s="43"/>
      <c r="U20" s="30"/>
      <c r="V20" s="42" t="b">
        <v>0</v>
      </c>
      <c r="W20" s="43"/>
      <c r="X20" s="30"/>
      <c r="Y20" s="42" t="b">
        <v>0</v>
      </c>
      <c r="Z20" s="43"/>
      <c r="AA20" s="30"/>
      <c r="AB20" s="42" t="b">
        <v>0</v>
      </c>
      <c r="AC20" s="43"/>
      <c r="AD20" s="30"/>
      <c r="AE20" s="42" t="b">
        <v>0</v>
      </c>
      <c r="AF20" s="43"/>
      <c r="AG20" s="30"/>
      <c r="AH20" s="42" t="b">
        <v>0</v>
      </c>
      <c r="AI20" s="43"/>
      <c r="AJ20" s="30"/>
      <c r="AK20" s="42" t="b">
        <v>0</v>
      </c>
      <c r="AL20" s="43"/>
      <c r="AM20" s="30"/>
      <c r="AN20" s="48" t="b">
        <v>0</v>
      </c>
      <c r="AO20" s="43"/>
      <c r="AP20" s="30"/>
    </row>
    <row r="21" spans="1:43" ht="13" x14ac:dyDescent="0.15">
      <c r="A21" s="21" t="s">
        <v>105</v>
      </c>
      <c r="B21" s="34" t="s">
        <v>114</v>
      </c>
      <c r="C21" s="34" t="s">
        <v>115</v>
      </c>
      <c r="D21" s="45" t="s">
        <v>320</v>
      </c>
      <c r="E21" s="36">
        <f t="shared" si="0"/>
        <v>0</v>
      </c>
      <c r="F21" s="37">
        <f t="shared" si="1"/>
        <v>3</v>
      </c>
      <c r="G21" s="37">
        <f t="shared" si="2"/>
        <v>0</v>
      </c>
      <c r="H21" s="38">
        <f t="shared" si="3"/>
        <v>1</v>
      </c>
      <c r="I21" s="39">
        <f t="shared" si="6"/>
        <v>28</v>
      </c>
      <c r="J21" s="40">
        <f t="shared" si="4"/>
        <v>5.128205128205128E-2</v>
      </c>
      <c r="K21" s="46">
        <v>46036</v>
      </c>
      <c r="L21" s="30" t="s">
        <v>21</v>
      </c>
      <c r="M21" s="42" t="b">
        <v>0</v>
      </c>
      <c r="N21" s="47">
        <v>46092</v>
      </c>
      <c r="O21" s="30" t="s">
        <v>19</v>
      </c>
      <c r="P21" s="42" t="b">
        <v>0</v>
      </c>
      <c r="Q21" s="47">
        <v>46085</v>
      </c>
      <c r="R21" s="30" t="s">
        <v>21</v>
      </c>
      <c r="S21" s="42" t="b">
        <v>0</v>
      </c>
      <c r="T21" s="47">
        <v>46148</v>
      </c>
      <c r="U21" s="30" t="s">
        <v>19</v>
      </c>
      <c r="V21" s="42" t="b">
        <v>0</v>
      </c>
      <c r="W21" s="47">
        <v>46155</v>
      </c>
      <c r="X21" s="30" t="s">
        <v>19</v>
      </c>
      <c r="Y21" s="42" t="b">
        <v>0</v>
      </c>
      <c r="Z21" s="43"/>
      <c r="AA21" s="30"/>
      <c r="AB21" s="42" t="b">
        <v>0</v>
      </c>
      <c r="AC21" s="43"/>
      <c r="AD21" s="30"/>
      <c r="AE21" s="42" t="b">
        <v>0</v>
      </c>
      <c r="AF21" s="43"/>
      <c r="AG21" s="30"/>
      <c r="AH21" s="42" t="b">
        <v>0</v>
      </c>
      <c r="AI21" s="43"/>
      <c r="AJ21" s="30"/>
      <c r="AK21" s="42" t="b">
        <v>0</v>
      </c>
      <c r="AL21" s="43"/>
      <c r="AM21" s="30"/>
      <c r="AN21" s="48" t="b">
        <v>0</v>
      </c>
      <c r="AO21" s="43"/>
      <c r="AP21" s="30"/>
    </row>
    <row r="22" spans="1:43" ht="13" x14ac:dyDescent="0.15">
      <c r="A22" s="21" t="s">
        <v>105</v>
      </c>
      <c r="B22" s="34" t="s">
        <v>116</v>
      </c>
      <c r="C22" s="34" t="s">
        <v>117</v>
      </c>
      <c r="D22" s="45" t="s">
        <v>321</v>
      </c>
      <c r="E22" s="36">
        <f t="shared" si="0"/>
        <v>1</v>
      </c>
      <c r="F22" s="37">
        <f t="shared" si="1"/>
        <v>0</v>
      </c>
      <c r="G22" s="37">
        <f t="shared" si="2"/>
        <v>2</v>
      </c>
      <c r="H22" s="38">
        <f t="shared" si="3"/>
        <v>0</v>
      </c>
      <c r="I22" s="39">
        <f t="shared" si="6"/>
        <v>21</v>
      </c>
      <c r="J22" s="40">
        <f t="shared" si="4"/>
        <v>3.8461538461538464E-2</v>
      </c>
      <c r="K22" s="41" t="s">
        <v>118</v>
      </c>
      <c r="L22" s="30" t="s">
        <v>20</v>
      </c>
      <c r="M22" s="42" t="b">
        <v>1</v>
      </c>
      <c r="N22" s="47">
        <v>46106</v>
      </c>
      <c r="O22" s="30" t="s">
        <v>20</v>
      </c>
      <c r="P22" s="42" t="b">
        <v>1</v>
      </c>
      <c r="Q22" s="47">
        <v>46120</v>
      </c>
      <c r="R22" s="30" t="s">
        <v>18</v>
      </c>
      <c r="S22" s="42" t="b">
        <v>0</v>
      </c>
      <c r="T22" s="43"/>
      <c r="U22" s="30"/>
      <c r="V22" s="42" t="b">
        <v>0</v>
      </c>
      <c r="W22" s="43"/>
      <c r="X22" s="30"/>
      <c r="Y22" s="42" t="b">
        <v>0</v>
      </c>
      <c r="Z22" s="43"/>
      <c r="AA22" s="30"/>
      <c r="AB22" s="42" t="b">
        <v>0</v>
      </c>
      <c r="AC22" s="43"/>
      <c r="AD22" s="30"/>
      <c r="AE22" s="42" t="b">
        <v>0</v>
      </c>
      <c r="AF22" s="43"/>
      <c r="AG22" s="30"/>
      <c r="AH22" s="42" t="b">
        <v>0</v>
      </c>
      <c r="AI22" s="43"/>
      <c r="AJ22" s="30"/>
      <c r="AK22" s="42" t="b">
        <v>0</v>
      </c>
      <c r="AL22" s="43"/>
      <c r="AM22" s="30"/>
      <c r="AN22" s="48" t="b">
        <v>0</v>
      </c>
      <c r="AO22" s="43"/>
      <c r="AP22" s="30"/>
    </row>
    <row r="23" spans="1:43" ht="14" x14ac:dyDescent="0.15">
      <c r="A23" s="21" t="s">
        <v>119</v>
      </c>
      <c r="B23" s="34" t="s">
        <v>120</v>
      </c>
      <c r="C23" s="34" t="s">
        <v>121</v>
      </c>
      <c r="D23" s="45" t="s">
        <v>322</v>
      </c>
      <c r="E23" s="36">
        <f t="shared" si="0"/>
        <v>0</v>
      </c>
      <c r="F23" s="37">
        <f t="shared" si="1"/>
        <v>3</v>
      </c>
      <c r="G23" s="37">
        <f t="shared" si="2"/>
        <v>1</v>
      </c>
      <c r="H23" s="38">
        <f t="shared" si="3"/>
        <v>2</v>
      </c>
      <c r="I23" s="39">
        <f t="shared" si="6"/>
        <v>42</v>
      </c>
      <c r="J23" s="40">
        <f t="shared" si="4"/>
        <v>7.6923076923076927E-2</v>
      </c>
      <c r="K23" s="46">
        <v>46063</v>
      </c>
      <c r="L23" s="30" t="s">
        <v>20</v>
      </c>
      <c r="M23" s="42" t="b">
        <v>1</v>
      </c>
      <c r="N23" s="47">
        <v>46070</v>
      </c>
      <c r="O23" s="30" t="s">
        <v>19</v>
      </c>
      <c r="P23" s="42" t="b">
        <v>1</v>
      </c>
      <c r="Q23" s="47">
        <v>46077</v>
      </c>
      <c r="R23" s="30" t="s">
        <v>19</v>
      </c>
      <c r="S23" s="42" t="b">
        <v>1</v>
      </c>
      <c r="T23" s="47">
        <v>46119</v>
      </c>
      <c r="U23" s="30" t="s">
        <v>19</v>
      </c>
      <c r="V23" s="42" t="b">
        <v>0</v>
      </c>
      <c r="W23" s="47">
        <v>46133</v>
      </c>
      <c r="X23" s="30" t="s">
        <v>21</v>
      </c>
      <c r="Y23" s="42" t="b">
        <v>1</v>
      </c>
      <c r="Z23" s="50">
        <v>46140</v>
      </c>
      <c r="AA23" s="51" t="s">
        <v>21</v>
      </c>
      <c r="AB23" s="42" t="b">
        <v>1</v>
      </c>
      <c r="AC23" s="43"/>
      <c r="AD23" s="30"/>
      <c r="AE23" s="42" t="b">
        <v>0</v>
      </c>
      <c r="AF23" s="43"/>
      <c r="AG23" s="30"/>
      <c r="AH23" s="42" t="b">
        <v>0</v>
      </c>
      <c r="AI23" s="43"/>
      <c r="AJ23" s="30"/>
      <c r="AK23" s="42" t="b">
        <v>0</v>
      </c>
      <c r="AL23" s="43"/>
      <c r="AM23" s="30"/>
      <c r="AN23" s="48" t="b">
        <v>0</v>
      </c>
      <c r="AO23" s="43"/>
      <c r="AP23" s="30"/>
    </row>
    <row r="24" spans="1:43" ht="13" x14ac:dyDescent="0.15">
      <c r="A24" s="21" t="s">
        <v>119</v>
      </c>
      <c r="B24" s="34" t="s">
        <v>122</v>
      </c>
      <c r="C24" s="34" t="s">
        <v>123</v>
      </c>
      <c r="D24" s="45" t="s">
        <v>323</v>
      </c>
      <c r="E24" s="36">
        <f t="shared" si="0"/>
        <v>0</v>
      </c>
      <c r="F24" s="37">
        <f t="shared" si="1"/>
        <v>0</v>
      </c>
      <c r="G24" s="37">
        <f t="shared" si="2"/>
        <v>1</v>
      </c>
      <c r="H24" s="38">
        <f t="shared" si="3"/>
        <v>1</v>
      </c>
      <c r="I24" s="39">
        <f t="shared" si="6"/>
        <v>14</v>
      </c>
      <c r="J24" s="40">
        <f t="shared" si="4"/>
        <v>2.564102564102564E-2</v>
      </c>
      <c r="K24" s="46">
        <v>46119</v>
      </c>
      <c r="L24" s="30" t="s">
        <v>20</v>
      </c>
      <c r="M24" s="42" t="b">
        <v>1</v>
      </c>
      <c r="N24" s="43" t="s">
        <v>124</v>
      </c>
      <c r="O24" s="30" t="s">
        <v>21</v>
      </c>
      <c r="P24" s="42" t="b">
        <v>0</v>
      </c>
      <c r="Q24" s="43"/>
      <c r="R24" s="30"/>
      <c r="S24" s="42" t="b">
        <v>0</v>
      </c>
      <c r="T24" s="43"/>
      <c r="U24" s="30"/>
      <c r="V24" s="42" t="b">
        <v>0</v>
      </c>
      <c r="W24" s="43"/>
      <c r="X24" s="30"/>
      <c r="Y24" s="42" t="b">
        <v>0</v>
      </c>
      <c r="Z24" s="43"/>
      <c r="AA24" s="30"/>
      <c r="AB24" s="42" t="b">
        <v>0</v>
      </c>
      <c r="AC24" s="43"/>
      <c r="AD24" s="30"/>
      <c r="AE24" s="42" t="b">
        <v>0</v>
      </c>
      <c r="AF24" s="43"/>
      <c r="AG24" s="30"/>
      <c r="AH24" s="42" t="b">
        <v>0</v>
      </c>
      <c r="AI24" s="43"/>
      <c r="AJ24" s="30"/>
      <c r="AK24" s="42" t="b">
        <v>0</v>
      </c>
      <c r="AL24" s="43"/>
      <c r="AM24" s="30"/>
      <c r="AN24" s="48" t="b">
        <v>0</v>
      </c>
      <c r="AO24" s="43"/>
      <c r="AP24" s="30"/>
    </row>
    <row r="25" spans="1:43" ht="13" x14ac:dyDescent="0.15">
      <c r="A25" s="21" t="s">
        <v>119</v>
      </c>
      <c r="B25" s="34" t="s">
        <v>77</v>
      </c>
      <c r="C25" s="34" t="s">
        <v>125</v>
      </c>
      <c r="D25" s="45" t="s">
        <v>324</v>
      </c>
      <c r="E25" s="36">
        <f t="shared" si="0"/>
        <v>0</v>
      </c>
      <c r="F25" s="37">
        <f t="shared" si="1"/>
        <v>0</v>
      </c>
      <c r="G25" s="37">
        <f t="shared" si="2"/>
        <v>0</v>
      </c>
      <c r="H25" s="38">
        <f t="shared" si="3"/>
        <v>0</v>
      </c>
      <c r="I25" s="39">
        <f t="shared" si="6"/>
        <v>0</v>
      </c>
      <c r="J25" s="40">
        <f t="shared" si="4"/>
        <v>0</v>
      </c>
      <c r="K25" s="41"/>
      <c r="L25" s="30"/>
      <c r="M25" s="42" t="b">
        <v>0</v>
      </c>
      <c r="N25" s="43"/>
      <c r="O25" s="30"/>
      <c r="P25" s="42" t="b">
        <v>0</v>
      </c>
      <c r="Q25" s="43"/>
      <c r="R25" s="30"/>
      <c r="S25" s="42" t="b">
        <v>0</v>
      </c>
      <c r="T25" s="43"/>
      <c r="U25" s="30"/>
      <c r="V25" s="42" t="b">
        <v>0</v>
      </c>
      <c r="W25" s="43"/>
      <c r="X25" s="30"/>
      <c r="Y25" s="42" t="b">
        <v>0</v>
      </c>
      <c r="Z25" s="43"/>
      <c r="AA25" s="30"/>
      <c r="AB25" s="42" t="b">
        <v>0</v>
      </c>
      <c r="AC25" s="43"/>
      <c r="AD25" s="30"/>
      <c r="AE25" s="42" t="b">
        <v>0</v>
      </c>
      <c r="AF25" s="43"/>
      <c r="AG25" s="30"/>
      <c r="AH25" s="42" t="b">
        <v>0</v>
      </c>
      <c r="AI25" s="43"/>
      <c r="AJ25" s="30"/>
      <c r="AK25" s="42" t="b">
        <v>0</v>
      </c>
      <c r="AL25" s="43"/>
      <c r="AM25" s="30"/>
      <c r="AN25" s="48" t="b">
        <v>0</v>
      </c>
      <c r="AO25" s="43"/>
      <c r="AP25" s="30"/>
    </row>
    <row r="26" spans="1:43" ht="13" x14ac:dyDescent="0.15">
      <c r="A26" s="21" t="s">
        <v>119</v>
      </c>
      <c r="B26" s="34" t="s">
        <v>126</v>
      </c>
      <c r="C26" s="34" t="s">
        <v>127</v>
      </c>
      <c r="D26" s="45" t="s">
        <v>325</v>
      </c>
      <c r="E26" s="36">
        <f t="shared" si="0"/>
        <v>0</v>
      </c>
      <c r="F26" s="37">
        <f t="shared" si="1"/>
        <v>4</v>
      </c>
      <c r="G26" s="37">
        <f t="shared" si="2"/>
        <v>0</v>
      </c>
      <c r="H26" s="38">
        <f t="shared" si="3"/>
        <v>0</v>
      </c>
      <c r="I26" s="39">
        <f t="shared" si="6"/>
        <v>28</v>
      </c>
      <c r="J26" s="40">
        <f t="shared" si="4"/>
        <v>5.128205128205128E-2</v>
      </c>
      <c r="K26" s="46">
        <v>46056</v>
      </c>
      <c r="L26" s="30" t="s">
        <v>19</v>
      </c>
      <c r="M26" s="42" t="b">
        <v>0</v>
      </c>
      <c r="N26" s="47">
        <v>46063</v>
      </c>
      <c r="O26" s="30" t="s">
        <v>19</v>
      </c>
      <c r="P26" s="42" t="b">
        <v>0</v>
      </c>
      <c r="Q26" s="47">
        <v>46070</v>
      </c>
      <c r="R26" s="30" t="s">
        <v>19</v>
      </c>
      <c r="S26" s="42" t="b">
        <v>0</v>
      </c>
      <c r="T26" s="47">
        <v>46105</v>
      </c>
      <c r="U26" s="30" t="s">
        <v>19</v>
      </c>
      <c r="V26" s="42" t="b">
        <v>0</v>
      </c>
      <c r="W26" s="43"/>
      <c r="X26" s="30"/>
      <c r="Y26" s="42" t="b">
        <v>0</v>
      </c>
      <c r="Z26" s="43"/>
      <c r="AA26" s="30"/>
      <c r="AB26" s="42" t="b">
        <v>0</v>
      </c>
      <c r="AC26" s="43"/>
      <c r="AD26" s="30"/>
      <c r="AE26" s="42" t="b">
        <v>0</v>
      </c>
      <c r="AF26" s="43"/>
      <c r="AG26" s="30"/>
      <c r="AH26" s="42" t="b">
        <v>0</v>
      </c>
      <c r="AI26" s="43"/>
      <c r="AJ26" s="30"/>
      <c r="AK26" s="42" t="b">
        <v>0</v>
      </c>
      <c r="AL26" s="43"/>
      <c r="AM26" s="30"/>
      <c r="AN26" s="48" t="b">
        <v>0</v>
      </c>
      <c r="AO26" s="43"/>
      <c r="AP26" s="30"/>
      <c r="AQ26" s="48" t="b">
        <v>0</v>
      </c>
    </row>
    <row r="27" spans="1:43" ht="13" x14ac:dyDescent="0.15">
      <c r="A27" s="21" t="s">
        <v>119</v>
      </c>
      <c r="B27" s="34" t="s">
        <v>128</v>
      </c>
      <c r="C27" s="34" t="s">
        <v>129</v>
      </c>
      <c r="D27" s="45" t="s">
        <v>326</v>
      </c>
      <c r="E27" s="36">
        <f t="shared" si="0"/>
        <v>0</v>
      </c>
      <c r="F27" s="37">
        <f t="shared" si="1"/>
        <v>0</v>
      </c>
      <c r="G27" s="37">
        <f t="shared" si="2"/>
        <v>0</v>
      </c>
      <c r="H27" s="38">
        <f t="shared" si="3"/>
        <v>0</v>
      </c>
      <c r="I27" s="39">
        <f t="shared" si="6"/>
        <v>0</v>
      </c>
      <c r="J27" s="40">
        <f t="shared" si="4"/>
        <v>0</v>
      </c>
      <c r="K27" s="41"/>
      <c r="L27" s="30"/>
      <c r="M27" s="42" t="b">
        <v>0</v>
      </c>
      <c r="N27" s="43"/>
      <c r="O27" s="30"/>
      <c r="P27" s="42" t="b">
        <v>0</v>
      </c>
      <c r="Q27" s="43"/>
      <c r="R27" s="30"/>
      <c r="S27" s="42" t="b">
        <v>0</v>
      </c>
      <c r="T27" s="43"/>
      <c r="U27" s="30"/>
      <c r="V27" s="42" t="b">
        <v>0</v>
      </c>
      <c r="W27" s="43"/>
      <c r="X27" s="30"/>
      <c r="Y27" s="42" t="b">
        <v>0</v>
      </c>
      <c r="Z27" s="43"/>
      <c r="AA27" s="30"/>
      <c r="AB27" s="42" t="b">
        <v>0</v>
      </c>
      <c r="AC27" s="43"/>
      <c r="AD27" s="30"/>
      <c r="AE27" s="42" t="b">
        <v>0</v>
      </c>
      <c r="AF27" s="43"/>
      <c r="AG27" s="30"/>
      <c r="AH27" s="42" t="b">
        <v>0</v>
      </c>
      <c r="AI27" s="43"/>
      <c r="AJ27" s="30"/>
      <c r="AK27" s="42" t="b">
        <v>0</v>
      </c>
      <c r="AL27" s="43"/>
      <c r="AM27" s="30"/>
      <c r="AN27" s="48" t="b">
        <v>0</v>
      </c>
      <c r="AO27" s="43"/>
      <c r="AP27" s="30"/>
      <c r="AQ27" s="48" t="b">
        <v>0</v>
      </c>
    </row>
    <row r="28" spans="1:43" ht="13" x14ac:dyDescent="0.15">
      <c r="A28" s="21" t="s">
        <v>119</v>
      </c>
      <c r="B28" s="34" t="s">
        <v>130</v>
      </c>
      <c r="C28" s="34" t="s">
        <v>131</v>
      </c>
      <c r="D28" s="45" t="s">
        <v>327</v>
      </c>
      <c r="E28" s="36">
        <f t="shared" si="0"/>
        <v>0</v>
      </c>
      <c r="F28" s="37">
        <f t="shared" si="1"/>
        <v>0</v>
      </c>
      <c r="G28" s="37">
        <f t="shared" si="2"/>
        <v>0</v>
      </c>
      <c r="H28" s="38">
        <f t="shared" si="3"/>
        <v>0</v>
      </c>
      <c r="I28" s="39">
        <f t="shared" si="6"/>
        <v>0</v>
      </c>
      <c r="J28" s="40">
        <f t="shared" si="4"/>
        <v>0</v>
      </c>
      <c r="K28" s="41"/>
      <c r="L28" s="30"/>
      <c r="M28" s="42" t="b">
        <v>0</v>
      </c>
      <c r="N28" s="43"/>
      <c r="O28" s="30"/>
      <c r="P28" s="42" t="b">
        <v>0</v>
      </c>
      <c r="Q28" s="43"/>
      <c r="R28" s="30"/>
      <c r="S28" s="42" t="b">
        <v>0</v>
      </c>
      <c r="T28" s="43"/>
      <c r="U28" s="30"/>
      <c r="V28" s="42" t="b">
        <v>0</v>
      </c>
      <c r="W28" s="43"/>
      <c r="X28" s="30"/>
      <c r="Y28" s="42" t="b">
        <v>0</v>
      </c>
      <c r="Z28" s="43"/>
      <c r="AA28" s="30"/>
      <c r="AB28" s="42" t="b">
        <v>0</v>
      </c>
      <c r="AC28" s="43"/>
      <c r="AD28" s="30"/>
      <c r="AE28" s="42" t="b">
        <v>0</v>
      </c>
      <c r="AF28" s="43"/>
      <c r="AG28" s="30"/>
      <c r="AH28" s="42" t="b">
        <v>0</v>
      </c>
      <c r="AI28" s="43"/>
      <c r="AJ28" s="30"/>
      <c r="AK28" s="42" t="b">
        <v>0</v>
      </c>
      <c r="AL28" s="43"/>
      <c r="AM28" s="30"/>
      <c r="AN28" s="48" t="b">
        <v>0</v>
      </c>
      <c r="AO28" s="43"/>
      <c r="AP28" s="30"/>
      <c r="AQ28" s="48" t="b">
        <v>0</v>
      </c>
    </row>
    <row r="29" spans="1:43" ht="13" x14ac:dyDescent="0.15">
      <c r="A29" s="21" t="s">
        <v>119</v>
      </c>
      <c r="B29" s="34" t="s">
        <v>130</v>
      </c>
      <c r="C29" s="34" t="s">
        <v>132</v>
      </c>
      <c r="D29" s="45" t="s">
        <v>328</v>
      </c>
      <c r="E29" s="36">
        <f t="shared" si="0"/>
        <v>1</v>
      </c>
      <c r="F29" s="37">
        <f t="shared" si="1"/>
        <v>0</v>
      </c>
      <c r="G29" s="37">
        <f t="shared" si="2"/>
        <v>1</v>
      </c>
      <c r="H29" s="38">
        <f t="shared" si="3"/>
        <v>0</v>
      </c>
      <c r="I29" s="39">
        <f t="shared" si="6"/>
        <v>14</v>
      </c>
      <c r="J29" s="40">
        <f t="shared" si="4"/>
        <v>2.564102564102564E-2</v>
      </c>
      <c r="K29" s="46">
        <v>46056</v>
      </c>
      <c r="L29" s="30" t="s">
        <v>18</v>
      </c>
      <c r="M29" s="42" t="b">
        <v>0</v>
      </c>
      <c r="N29" s="47">
        <v>46098</v>
      </c>
      <c r="O29" s="30" t="s">
        <v>20</v>
      </c>
      <c r="P29" s="42" t="b">
        <v>1</v>
      </c>
      <c r="Q29" s="43"/>
      <c r="R29" s="30"/>
      <c r="S29" s="42" t="b">
        <v>0</v>
      </c>
      <c r="T29" s="43"/>
      <c r="U29" s="30"/>
      <c r="V29" s="42" t="b">
        <v>0</v>
      </c>
      <c r="W29" s="43"/>
      <c r="X29" s="30"/>
      <c r="Y29" s="42" t="b">
        <v>0</v>
      </c>
      <c r="Z29" s="43"/>
      <c r="AA29" s="30"/>
      <c r="AB29" s="42" t="b">
        <v>0</v>
      </c>
      <c r="AC29" s="43"/>
      <c r="AD29" s="30"/>
      <c r="AE29" s="42" t="b">
        <v>0</v>
      </c>
      <c r="AF29" s="43"/>
      <c r="AG29" s="30"/>
      <c r="AH29" s="42" t="b">
        <v>0</v>
      </c>
      <c r="AI29" s="43"/>
      <c r="AJ29" s="30"/>
      <c r="AK29" s="42" t="b">
        <v>0</v>
      </c>
      <c r="AL29" s="43"/>
      <c r="AM29" s="30"/>
      <c r="AN29" s="48" t="b">
        <v>0</v>
      </c>
      <c r="AO29" s="43"/>
      <c r="AP29" s="30"/>
      <c r="AQ29" s="48" t="b">
        <v>0</v>
      </c>
    </row>
    <row r="30" spans="1:43" ht="14" x14ac:dyDescent="0.15">
      <c r="A30" s="21" t="s">
        <v>119</v>
      </c>
      <c r="B30" s="34" t="s">
        <v>133</v>
      </c>
      <c r="C30" s="34" t="s">
        <v>134</v>
      </c>
      <c r="D30" s="45" t="s">
        <v>329</v>
      </c>
      <c r="E30" s="36">
        <f t="shared" si="0"/>
        <v>0</v>
      </c>
      <c r="F30" s="37">
        <f t="shared" si="1"/>
        <v>1</v>
      </c>
      <c r="G30" s="37">
        <f t="shared" si="2"/>
        <v>1</v>
      </c>
      <c r="H30" s="38">
        <f t="shared" si="3"/>
        <v>1</v>
      </c>
      <c r="I30" s="39">
        <f t="shared" si="6"/>
        <v>21</v>
      </c>
      <c r="J30" s="40">
        <f t="shared" si="4"/>
        <v>3.8461538461538464E-2</v>
      </c>
      <c r="K30" s="46">
        <v>46063</v>
      </c>
      <c r="L30" s="30" t="s">
        <v>20</v>
      </c>
      <c r="M30" s="42" t="b">
        <v>1</v>
      </c>
      <c r="N30" s="47">
        <v>46077</v>
      </c>
      <c r="O30" s="30" t="s">
        <v>19</v>
      </c>
      <c r="P30" s="42" t="b">
        <v>1</v>
      </c>
      <c r="Q30" s="47">
        <v>46105</v>
      </c>
      <c r="R30" s="30" t="s">
        <v>21</v>
      </c>
      <c r="S30" s="42" t="b">
        <v>1</v>
      </c>
      <c r="T30" s="50"/>
      <c r="U30" s="51"/>
      <c r="V30" s="42"/>
      <c r="W30" s="43"/>
      <c r="X30" s="30"/>
      <c r="Y30" s="42" t="b">
        <v>0</v>
      </c>
      <c r="Z30" s="43"/>
      <c r="AA30" s="30"/>
      <c r="AB30" s="42" t="b">
        <v>0</v>
      </c>
      <c r="AC30" s="43"/>
      <c r="AD30" s="30"/>
      <c r="AE30" s="42" t="b">
        <v>0</v>
      </c>
      <c r="AF30" s="43"/>
      <c r="AG30" s="30"/>
      <c r="AH30" s="42" t="b">
        <v>0</v>
      </c>
      <c r="AI30" s="43"/>
      <c r="AJ30" s="30"/>
      <c r="AK30" s="42" t="b">
        <v>0</v>
      </c>
      <c r="AL30" s="43"/>
      <c r="AM30" s="30"/>
      <c r="AN30" s="48" t="b">
        <v>0</v>
      </c>
      <c r="AO30" s="43"/>
      <c r="AP30" s="30"/>
      <c r="AQ30" s="48" t="b">
        <v>0</v>
      </c>
    </row>
    <row r="31" spans="1:43" ht="14" x14ac:dyDescent="0.15">
      <c r="A31" s="21" t="s">
        <v>119</v>
      </c>
      <c r="B31" s="34" t="s">
        <v>135</v>
      </c>
      <c r="C31" s="34" t="s">
        <v>136</v>
      </c>
      <c r="D31" s="45" t="s">
        <v>330</v>
      </c>
      <c r="E31" s="36">
        <f t="shared" si="0"/>
        <v>1</v>
      </c>
      <c r="F31" s="37">
        <f t="shared" si="1"/>
        <v>0</v>
      </c>
      <c r="G31" s="37">
        <f t="shared" si="2"/>
        <v>0</v>
      </c>
      <c r="H31" s="38">
        <f t="shared" si="3"/>
        <v>1</v>
      </c>
      <c r="I31" s="39">
        <f t="shared" si="6"/>
        <v>14</v>
      </c>
      <c r="J31" s="40">
        <f t="shared" si="4"/>
        <v>2.564102564102564E-2</v>
      </c>
      <c r="K31" s="46">
        <v>46070</v>
      </c>
      <c r="L31" s="30" t="s">
        <v>18</v>
      </c>
      <c r="M31" s="42" t="b">
        <v>1</v>
      </c>
      <c r="N31" s="52">
        <v>46091</v>
      </c>
      <c r="O31" s="30"/>
      <c r="P31" s="42" t="b">
        <v>1</v>
      </c>
      <c r="Q31" s="53">
        <v>46133</v>
      </c>
      <c r="R31" s="54" t="s">
        <v>21</v>
      </c>
      <c r="S31" s="55" t="b">
        <v>1</v>
      </c>
      <c r="T31" s="43"/>
      <c r="U31" s="30"/>
      <c r="V31" s="42" t="b">
        <v>0</v>
      </c>
      <c r="W31" s="43"/>
      <c r="X31" s="30"/>
      <c r="Y31" s="42" t="b">
        <v>0</v>
      </c>
      <c r="Z31" s="43"/>
      <c r="AA31" s="30"/>
      <c r="AB31" s="42" t="b">
        <v>0</v>
      </c>
      <c r="AC31" s="43"/>
      <c r="AD31" s="30"/>
      <c r="AE31" s="42" t="b">
        <v>0</v>
      </c>
      <c r="AF31" s="43"/>
      <c r="AG31" s="30"/>
      <c r="AH31" s="42" t="b">
        <v>0</v>
      </c>
      <c r="AI31" s="43"/>
      <c r="AJ31" s="30"/>
      <c r="AK31" s="42" t="b">
        <v>0</v>
      </c>
      <c r="AL31" s="43"/>
      <c r="AM31" s="30"/>
      <c r="AN31" s="48" t="b">
        <v>0</v>
      </c>
      <c r="AO31" s="43"/>
      <c r="AP31" s="30"/>
      <c r="AQ31" s="48" t="b">
        <v>0</v>
      </c>
    </row>
    <row r="32" spans="1:43" ht="16" x14ac:dyDescent="0.2">
      <c r="A32" s="21" t="s">
        <v>137</v>
      </c>
      <c r="B32" s="34" t="s">
        <v>138</v>
      </c>
      <c r="C32" s="56" t="s">
        <v>139</v>
      </c>
      <c r="D32" s="45" t="s">
        <v>316</v>
      </c>
      <c r="E32" s="36">
        <f t="shared" si="0"/>
        <v>0</v>
      </c>
      <c r="F32" s="37">
        <f t="shared" si="1"/>
        <v>0</v>
      </c>
      <c r="G32" s="37">
        <f t="shared" si="2"/>
        <v>0</v>
      </c>
      <c r="H32" s="38">
        <f t="shared" si="3"/>
        <v>1</v>
      </c>
      <c r="I32" s="39">
        <f t="shared" si="6"/>
        <v>7</v>
      </c>
      <c r="J32" s="40">
        <f t="shared" si="4"/>
        <v>1.282051282051282E-2</v>
      </c>
      <c r="K32" s="46">
        <v>46064</v>
      </c>
      <c r="L32" s="30" t="s">
        <v>34</v>
      </c>
      <c r="M32" s="42" t="b">
        <v>1</v>
      </c>
      <c r="N32" s="47">
        <v>46134</v>
      </c>
      <c r="O32" s="30" t="s">
        <v>21</v>
      </c>
      <c r="P32" s="42" t="b">
        <v>1</v>
      </c>
      <c r="Q32" s="43"/>
      <c r="R32" s="30"/>
      <c r="S32" s="42" t="b">
        <v>0</v>
      </c>
      <c r="T32" s="43"/>
      <c r="U32" s="30"/>
      <c r="V32" s="42" t="b">
        <v>0</v>
      </c>
      <c r="W32" s="43"/>
      <c r="X32" s="30"/>
      <c r="Y32" s="42" t="b">
        <v>0</v>
      </c>
      <c r="Z32" s="43"/>
      <c r="AA32" s="30"/>
      <c r="AB32" s="42" t="b">
        <v>0</v>
      </c>
      <c r="AC32" s="43"/>
      <c r="AD32" s="30"/>
      <c r="AE32" s="42" t="b">
        <v>0</v>
      </c>
      <c r="AF32" s="43"/>
      <c r="AG32" s="30"/>
      <c r="AH32" s="42" t="b">
        <v>0</v>
      </c>
      <c r="AI32" s="43"/>
      <c r="AJ32" s="30"/>
      <c r="AK32" s="42" t="b">
        <v>0</v>
      </c>
      <c r="AL32" s="43"/>
      <c r="AM32" s="30"/>
      <c r="AN32" s="48" t="b">
        <v>0</v>
      </c>
      <c r="AO32" s="43"/>
      <c r="AP32" s="30"/>
      <c r="AQ32" s="48" t="b">
        <v>0</v>
      </c>
    </row>
    <row r="33" spans="1:43" ht="13" x14ac:dyDescent="0.15">
      <c r="A33" s="21" t="s">
        <v>137</v>
      </c>
      <c r="B33" s="34" t="s">
        <v>140</v>
      </c>
      <c r="C33" s="34" t="s">
        <v>141</v>
      </c>
      <c r="D33" s="45" t="s">
        <v>331</v>
      </c>
      <c r="E33" s="36">
        <f t="shared" si="0"/>
        <v>0</v>
      </c>
      <c r="F33" s="37">
        <f t="shared" si="1"/>
        <v>0</v>
      </c>
      <c r="G33" s="37">
        <f t="shared" si="2"/>
        <v>2</v>
      </c>
      <c r="H33" s="38">
        <f t="shared" si="3"/>
        <v>2</v>
      </c>
      <c r="I33" s="39">
        <f t="shared" si="6"/>
        <v>28</v>
      </c>
      <c r="J33" s="40">
        <f t="shared" si="4"/>
        <v>5.128205128205128E-2</v>
      </c>
      <c r="K33" s="46">
        <v>46092</v>
      </c>
      <c r="L33" s="30" t="s">
        <v>20</v>
      </c>
      <c r="M33" s="42" t="b">
        <v>0</v>
      </c>
      <c r="N33" s="47">
        <v>46106</v>
      </c>
      <c r="O33" s="30" t="s">
        <v>20</v>
      </c>
      <c r="P33" s="42" t="b">
        <v>1</v>
      </c>
      <c r="Q33" s="43" t="s">
        <v>142</v>
      </c>
      <c r="R33" s="30" t="s">
        <v>21</v>
      </c>
      <c r="S33" s="42" t="b">
        <v>1</v>
      </c>
      <c r="T33" s="47">
        <v>46120</v>
      </c>
      <c r="U33" s="30" t="s">
        <v>21</v>
      </c>
      <c r="V33" s="42" t="b">
        <v>0</v>
      </c>
      <c r="W33" s="43"/>
      <c r="X33" s="30"/>
      <c r="Y33" s="42" t="b">
        <v>0</v>
      </c>
      <c r="Z33" s="43"/>
      <c r="AA33" s="30"/>
      <c r="AB33" s="42" t="b">
        <v>0</v>
      </c>
      <c r="AC33" s="43"/>
      <c r="AD33" s="30"/>
      <c r="AE33" s="42" t="b">
        <v>0</v>
      </c>
      <c r="AF33" s="43"/>
      <c r="AG33" s="30"/>
      <c r="AH33" s="42" t="b">
        <v>0</v>
      </c>
      <c r="AI33" s="43"/>
      <c r="AJ33" s="30"/>
      <c r="AK33" s="42" t="b">
        <v>0</v>
      </c>
      <c r="AL33" s="43"/>
      <c r="AM33" s="30"/>
      <c r="AN33" s="48" t="b">
        <v>0</v>
      </c>
      <c r="AO33" s="43"/>
      <c r="AP33" s="30"/>
      <c r="AQ33" s="48" t="b">
        <v>0</v>
      </c>
    </row>
    <row r="34" spans="1:43" ht="13" x14ac:dyDescent="0.15">
      <c r="A34" s="21" t="s">
        <v>137</v>
      </c>
      <c r="B34" s="34" t="s">
        <v>143</v>
      </c>
      <c r="C34" s="34" t="s">
        <v>144</v>
      </c>
      <c r="D34" s="45" t="s">
        <v>316</v>
      </c>
      <c r="E34" s="36">
        <f t="shared" si="0"/>
        <v>0</v>
      </c>
      <c r="F34" s="37">
        <f t="shared" si="1"/>
        <v>4</v>
      </c>
      <c r="G34" s="37">
        <f t="shared" si="2"/>
        <v>0</v>
      </c>
      <c r="H34" s="38">
        <f t="shared" si="3"/>
        <v>1</v>
      </c>
      <c r="I34" s="39">
        <f t="shared" si="6"/>
        <v>35</v>
      </c>
      <c r="J34" s="40">
        <f t="shared" si="4"/>
        <v>6.4102564102564097E-2</v>
      </c>
      <c r="K34" s="46">
        <v>46050</v>
      </c>
      <c r="L34" s="30" t="s">
        <v>21</v>
      </c>
      <c r="M34" s="42" t="b">
        <v>1</v>
      </c>
      <c r="N34" s="47">
        <v>46057</v>
      </c>
      <c r="O34" s="30" t="s">
        <v>21</v>
      </c>
      <c r="P34" s="42" t="b">
        <v>1</v>
      </c>
      <c r="Q34" s="47">
        <v>46113</v>
      </c>
      <c r="R34" s="30" t="s">
        <v>34</v>
      </c>
      <c r="S34" s="42" t="b">
        <v>1</v>
      </c>
      <c r="T34" s="57">
        <v>46127</v>
      </c>
      <c r="U34" s="30" t="s">
        <v>19</v>
      </c>
      <c r="V34" s="42" t="b">
        <v>0</v>
      </c>
      <c r="W34" s="47">
        <v>46134</v>
      </c>
      <c r="X34" s="30" t="s">
        <v>19</v>
      </c>
      <c r="Y34" s="42" t="b">
        <v>0</v>
      </c>
      <c r="Z34" s="47">
        <v>46141</v>
      </c>
      <c r="AA34" s="30" t="s">
        <v>19</v>
      </c>
      <c r="AB34" s="42" t="b">
        <v>0</v>
      </c>
      <c r="AC34" s="47">
        <v>46162</v>
      </c>
      <c r="AD34" s="30" t="s">
        <v>19</v>
      </c>
      <c r="AE34" s="42" t="b">
        <v>0</v>
      </c>
      <c r="AF34" s="43"/>
      <c r="AG34" s="30"/>
      <c r="AH34" s="42" t="b">
        <v>0</v>
      </c>
      <c r="AI34" s="43"/>
      <c r="AJ34" s="30"/>
      <c r="AK34" s="42" t="b">
        <v>0</v>
      </c>
      <c r="AL34" s="43"/>
      <c r="AM34" s="30"/>
      <c r="AN34" s="48" t="b">
        <v>0</v>
      </c>
      <c r="AO34" s="43"/>
      <c r="AP34" s="30"/>
      <c r="AQ34" s="48" t="b">
        <v>0</v>
      </c>
    </row>
    <row r="35" spans="1:43" ht="13" x14ac:dyDescent="0.15">
      <c r="A35" s="21" t="s">
        <v>137</v>
      </c>
      <c r="B35" s="34" t="s">
        <v>145</v>
      </c>
      <c r="C35" s="34" t="s">
        <v>146</v>
      </c>
      <c r="D35" s="45" t="s">
        <v>316</v>
      </c>
      <c r="E35" s="36">
        <f t="shared" si="0"/>
        <v>0</v>
      </c>
      <c r="F35" s="37">
        <f t="shared" si="1"/>
        <v>0</v>
      </c>
      <c r="G35" s="37">
        <f t="shared" si="2"/>
        <v>1</v>
      </c>
      <c r="H35" s="38">
        <f t="shared" si="3"/>
        <v>0</v>
      </c>
      <c r="I35" s="39">
        <f t="shared" si="6"/>
        <v>7</v>
      </c>
      <c r="J35" s="40">
        <f t="shared" si="4"/>
        <v>1.282051282051282E-2</v>
      </c>
      <c r="K35" s="41"/>
      <c r="L35" s="30"/>
      <c r="M35" s="42" t="b">
        <v>0</v>
      </c>
      <c r="N35" s="47">
        <v>46120</v>
      </c>
      <c r="O35" s="30" t="s">
        <v>20</v>
      </c>
      <c r="P35" s="42" t="b">
        <v>1</v>
      </c>
      <c r="Q35" s="43"/>
      <c r="R35" s="30"/>
      <c r="S35" s="42" t="b">
        <v>0</v>
      </c>
      <c r="T35" s="43"/>
      <c r="U35" s="30"/>
      <c r="V35" s="42" t="b">
        <v>0</v>
      </c>
      <c r="W35" s="43"/>
      <c r="X35" s="30"/>
      <c r="Y35" s="42" t="b">
        <v>0</v>
      </c>
      <c r="Z35" s="43"/>
      <c r="AA35" s="30"/>
      <c r="AB35" s="42" t="b">
        <v>0</v>
      </c>
      <c r="AC35" s="43"/>
      <c r="AD35" s="30"/>
      <c r="AE35" s="42" t="b">
        <v>0</v>
      </c>
      <c r="AF35" s="43"/>
      <c r="AG35" s="30"/>
      <c r="AH35" s="42" t="b">
        <v>0</v>
      </c>
      <c r="AI35" s="43"/>
      <c r="AJ35" s="30"/>
      <c r="AK35" s="42" t="b">
        <v>0</v>
      </c>
      <c r="AL35" s="43"/>
      <c r="AM35" s="30"/>
      <c r="AN35" s="48" t="b">
        <v>0</v>
      </c>
      <c r="AO35" s="43"/>
      <c r="AP35" s="30"/>
      <c r="AQ35" s="48" t="b">
        <v>0</v>
      </c>
    </row>
    <row r="36" spans="1:43" ht="13" x14ac:dyDescent="0.15">
      <c r="A36" s="21" t="s">
        <v>137</v>
      </c>
      <c r="B36" s="34" t="s">
        <v>147</v>
      </c>
      <c r="C36" s="34" t="s">
        <v>148</v>
      </c>
      <c r="D36" s="45" t="s">
        <v>316</v>
      </c>
      <c r="E36" s="36">
        <f t="shared" si="0"/>
        <v>0</v>
      </c>
      <c r="F36" s="37">
        <f t="shared" si="1"/>
        <v>1</v>
      </c>
      <c r="G36" s="37">
        <f t="shared" si="2"/>
        <v>1</v>
      </c>
      <c r="H36" s="38">
        <f t="shared" si="3"/>
        <v>0</v>
      </c>
      <c r="I36" s="39">
        <f t="shared" si="6"/>
        <v>14</v>
      </c>
      <c r="J36" s="40">
        <f t="shared" si="4"/>
        <v>2.564102564102564E-2</v>
      </c>
      <c r="K36" s="46">
        <v>46078</v>
      </c>
      <c r="L36" s="30" t="s">
        <v>19</v>
      </c>
      <c r="M36" s="42" t="b">
        <v>0</v>
      </c>
      <c r="N36" s="47">
        <v>46127</v>
      </c>
      <c r="O36" s="30" t="s">
        <v>20</v>
      </c>
      <c r="P36" s="42" t="b">
        <v>1</v>
      </c>
      <c r="Q36" s="43"/>
      <c r="R36" s="30"/>
      <c r="S36" s="42" t="b">
        <v>0</v>
      </c>
      <c r="T36" s="43"/>
      <c r="U36" s="30"/>
      <c r="V36" s="42" t="b">
        <v>0</v>
      </c>
      <c r="W36" s="43"/>
      <c r="X36" s="30"/>
      <c r="Y36" s="42" t="b">
        <v>0</v>
      </c>
      <c r="Z36" s="43"/>
      <c r="AA36" s="30"/>
      <c r="AB36" s="42" t="b">
        <v>0</v>
      </c>
      <c r="AC36" s="43"/>
      <c r="AD36" s="30"/>
      <c r="AE36" s="42" t="b">
        <v>0</v>
      </c>
      <c r="AF36" s="43"/>
      <c r="AG36" s="30"/>
      <c r="AH36" s="42" t="b">
        <v>0</v>
      </c>
      <c r="AI36" s="43"/>
      <c r="AJ36" s="30"/>
      <c r="AK36" s="42" t="b">
        <v>0</v>
      </c>
      <c r="AL36" s="43"/>
      <c r="AM36" s="30"/>
      <c r="AN36" s="48" t="b">
        <v>0</v>
      </c>
      <c r="AO36" s="43"/>
      <c r="AP36" s="30"/>
      <c r="AQ36" s="48" t="b">
        <v>0</v>
      </c>
    </row>
    <row r="37" spans="1:43" ht="14" x14ac:dyDescent="0.15">
      <c r="A37" s="21" t="s">
        <v>137</v>
      </c>
      <c r="B37" s="58" t="s">
        <v>149</v>
      </c>
      <c r="C37" s="59" t="s">
        <v>150</v>
      </c>
      <c r="D37" s="45" t="s">
        <v>316</v>
      </c>
      <c r="E37" s="36">
        <f t="shared" si="0"/>
        <v>0</v>
      </c>
      <c r="F37" s="37">
        <f t="shared" si="1"/>
        <v>1</v>
      </c>
      <c r="G37" s="37">
        <f t="shared" si="2"/>
        <v>1</v>
      </c>
      <c r="H37" s="38">
        <f t="shared" si="3"/>
        <v>4</v>
      </c>
      <c r="I37" s="39">
        <f t="shared" si="6"/>
        <v>42</v>
      </c>
      <c r="J37" s="40">
        <f t="shared" si="4"/>
        <v>7.6923076923076927E-2</v>
      </c>
      <c r="K37" s="46">
        <v>46057</v>
      </c>
      <c r="L37" s="30" t="s">
        <v>19</v>
      </c>
      <c r="M37" s="42" t="b">
        <v>0</v>
      </c>
      <c r="N37" s="47">
        <v>46092</v>
      </c>
      <c r="O37" s="30" t="s">
        <v>21</v>
      </c>
      <c r="P37" s="42" t="b">
        <v>1</v>
      </c>
      <c r="Q37" s="47">
        <v>46099</v>
      </c>
      <c r="R37" s="30" t="s">
        <v>21</v>
      </c>
      <c r="S37" s="42" t="b">
        <v>1</v>
      </c>
      <c r="T37" s="47">
        <v>46106</v>
      </c>
      <c r="U37" s="30" t="s">
        <v>21</v>
      </c>
      <c r="V37" s="42" t="b">
        <v>0</v>
      </c>
      <c r="W37" s="47">
        <v>46141</v>
      </c>
      <c r="X37" s="51" t="s">
        <v>20</v>
      </c>
      <c r="Y37" s="42" t="b">
        <v>1</v>
      </c>
      <c r="Z37" s="47">
        <v>46155</v>
      </c>
      <c r="AA37" s="30" t="s">
        <v>21</v>
      </c>
      <c r="AB37" s="42" t="b">
        <v>0</v>
      </c>
      <c r="AC37" s="43"/>
      <c r="AD37" s="30"/>
      <c r="AE37" s="42" t="b">
        <v>0</v>
      </c>
      <c r="AF37" s="43"/>
      <c r="AG37" s="30"/>
      <c r="AH37" s="42" t="b">
        <v>0</v>
      </c>
      <c r="AI37" s="43"/>
      <c r="AJ37" s="30"/>
      <c r="AK37" s="42" t="b">
        <v>0</v>
      </c>
      <c r="AL37" s="43"/>
      <c r="AM37" s="30"/>
      <c r="AN37" s="48" t="b">
        <v>0</v>
      </c>
      <c r="AO37" s="43"/>
      <c r="AP37" s="30"/>
      <c r="AQ37" s="48" t="b">
        <v>0</v>
      </c>
    </row>
    <row r="38" spans="1:43" ht="13" x14ac:dyDescent="0.15">
      <c r="A38" s="21" t="s">
        <v>137</v>
      </c>
      <c r="B38" s="34" t="s">
        <v>151</v>
      </c>
      <c r="C38" s="34" t="s">
        <v>152</v>
      </c>
      <c r="D38" s="45" t="s">
        <v>331</v>
      </c>
      <c r="E38" s="36">
        <f t="shared" si="0"/>
        <v>0</v>
      </c>
      <c r="F38" s="37">
        <f t="shared" si="1"/>
        <v>4</v>
      </c>
      <c r="G38" s="37">
        <f t="shared" si="2"/>
        <v>0</v>
      </c>
      <c r="H38" s="38">
        <f t="shared" si="3"/>
        <v>0</v>
      </c>
      <c r="I38" s="39">
        <f t="shared" si="6"/>
        <v>28</v>
      </c>
      <c r="J38" s="40">
        <f t="shared" si="4"/>
        <v>5.128205128205128E-2</v>
      </c>
      <c r="K38" s="60">
        <v>46120</v>
      </c>
      <c r="L38" s="61" t="s">
        <v>21</v>
      </c>
      <c r="M38" s="42" t="b">
        <v>0</v>
      </c>
      <c r="N38" s="47">
        <v>46134</v>
      </c>
      <c r="O38" s="30" t="s">
        <v>19</v>
      </c>
      <c r="P38" s="42" t="b">
        <v>1</v>
      </c>
      <c r="Q38" s="47">
        <v>46141</v>
      </c>
      <c r="R38" s="30" t="s">
        <v>19</v>
      </c>
      <c r="S38" s="42" t="b">
        <v>0</v>
      </c>
      <c r="T38" s="47">
        <v>46148</v>
      </c>
      <c r="U38" s="30" t="s">
        <v>19</v>
      </c>
      <c r="V38" s="42" t="b">
        <v>0</v>
      </c>
      <c r="W38" s="47">
        <v>46155</v>
      </c>
      <c r="X38" s="30" t="s">
        <v>19</v>
      </c>
      <c r="Y38" s="42" t="b">
        <v>0</v>
      </c>
      <c r="Z38" s="47">
        <v>46162</v>
      </c>
      <c r="AA38" s="30"/>
      <c r="AB38" s="42" t="b">
        <v>0</v>
      </c>
      <c r="AC38" s="43"/>
      <c r="AD38" s="30"/>
      <c r="AE38" s="42" t="b">
        <v>0</v>
      </c>
      <c r="AF38" s="43"/>
      <c r="AG38" s="30"/>
      <c r="AH38" s="42" t="b">
        <v>0</v>
      </c>
      <c r="AI38" s="43"/>
      <c r="AJ38" s="30"/>
      <c r="AK38" s="42" t="b">
        <v>0</v>
      </c>
      <c r="AL38" s="43"/>
      <c r="AM38" s="30"/>
      <c r="AN38" s="48" t="b">
        <v>0</v>
      </c>
      <c r="AO38" s="43"/>
      <c r="AP38" s="30"/>
      <c r="AQ38" s="48" t="b">
        <v>0</v>
      </c>
    </row>
    <row r="39" spans="1:43" ht="13" x14ac:dyDescent="0.15">
      <c r="A39" s="21" t="s">
        <v>137</v>
      </c>
      <c r="B39" s="34" t="s">
        <v>153</v>
      </c>
      <c r="C39" s="34" t="s">
        <v>154</v>
      </c>
      <c r="D39" s="45" t="s">
        <v>316</v>
      </c>
      <c r="E39" s="36">
        <f t="shared" si="0"/>
        <v>0</v>
      </c>
      <c r="F39" s="37">
        <f t="shared" si="1"/>
        <v>6</v>
      </c>
      <c r="G39" s="37">
        <f t="shared" si="2"/>
        <v>0</v>
      </c>
      <c r="H39" s="38">
        <f t="shared" si="3"/>
        <v>0</v>
      </c>
      <c r="I39" s="39">
        <f t="shared" si="6"/>
        <v>42</v>
      </c>
      <c r="J39" s="40">
        <f t="shared" si="4"/>
        <v>7.6923076923076927E-2</v>
      </c>
      <c r="K39" s="46">
        <v>46092</v>
      </c>
      <c r="L39" s="30" t="s">
        <v>19</v>
      </c>
      <c r="M39" s="42" t="b">
        <v>0</v>
      </c>
      <c r="N39" s="47">
        <v>46099</v>
      </c>
      <c r="O39" s="30" t="s">
        <v>19</v>
      </c>
      <c r="P39" s="42" t="b">
        <v>0</v>
      </c>
      <c r="Q39" s="47">
        <v>45741</v>
      </c>
      <c r="R39" s="30" t="s">
        <v>19</v>
      </c>
      <c r="S39" s="42" t="b">
        <v>0</v>
      </c>
      <c r="T39" s="47">
        <v>46113</v>
      </c>
      <c r="U39" s="30" t="s">
        <v>19</v>
      </c>
      <c r="V39" s="42" t="b">
        <v>0</v>
      </c>
      <c r="W39" s="47">
        <v>46141</v>
      </c>
      <c r="X39" s="30" t="s">
        <v>19</v>
      </c>
      <c r="Y39" s="42" t="b">
        <v>0</v>
      </c>
      <c r="Z39" s="47">
        <v>46162</v>
      </c>
      <c r="AA39" s="30" t="s">
        <v>19</v>
      </c>
      <c r="AB39" s="42" t="b">
        <v>0</v>
      </c>
      <c r="AC39" s="43"/>
      <c r="AD39" s="30"/>
      <c r="AE39" s="42" t="b">
        <v>0</v>
      </c>
      <c r="AF39" s="43"/>
      <c r="AG39" s="30"/>
      <c r="AH39" s="42" t="b">
        <v>0</v>
      </c>
      <c r="AI39" s="43"/>
      <c r="AJ39" s="30"/>
      <c r="AK39" s="42" t="b">
        <v>0</v>
      </c>
      <c r="AL39" s="43"/>
      <c r="AM39" s="30"/>
      <c r="AN39" s="48" t="b">
        <v>0</v>
      </c>
      <c r="AO39" s="43"/>
      <c r="AP39" s="30"/>
      <c r="AQ39" s="48" t="b">
        <v>0</v>
      </c>
    </row>
    <row r="40" spans="1:43" ht="13" x14ac:dyDescent="0.15">
      <c r="A40" s="21" t="s">
        <v>137</v>
      </c>
      <c r="B40" s="34" t="s">
        <v>155</v>
      </c>
      <c r="C40" s="34" t="s">
        <v>156</v>
      </c>
      <c r="D40" s="45" t="s">
        <v>316</v>
      </c>
      <c r="E40" s="36">
        <f t="shared" si="0"/>
        <v>0</v>
      </c>
      <c r="F40" s="37">
        <f t="shared" si="1"/>
        <v>0</v>
      </c>
      <c r="G40" s="37">
        <f t="shared" si="2"/>
        <v>0</v>
      </c>
      <c r="H40" s="38">
        <f t="shared" si="3"/>
        <v>0</v>
      </c>
      <c r="I40" s="39">
        <f t="shared" si="6"/>
        <v>0</v>
      </c>
      <c r="J40" s="40">
        <f t="shared" si="4"/>
        <v>0</v>
      </c>
      <c r="K40" s="46"/>
      <c r="L40" s="30"/>
      <c r="M40" s="42" t="b">
        <v>0</v>
      </c>
      <c r="N40" s="47"/>
      <c r="O40" s="30"/>
      <c r="P40" s="42" t="b">
        <v>0</v>
      </c>
      <c r="Q40" s="43"/>
      <c r="R40" s="30"/>
      <c r="S40" s="42" t="b">
        <v>0</v>
      </c>
      <c r="T40" s="43"/>
      <c r="U40" s="30"/>
      <c r="V40" s="42" t="b">
        <v>0</v>
      </c>
      <c r="W40" s="43"/>
      <c r="X40" s="30"/>
      <c r="Y40" s="42" t="b">
        <v>0</v>
      </c>
      <c r="Z40" s="43"/>
      <c r="AA40" s="30"/>
      <c r="AB40" s="42" t="b">
        <v>0</v>
      </c>
      <c r="AC40" s="43"/>
      <c r="AD40" s="30"/>
      <c r="AE40" s="42" t="b">
        <v>0</v>
      </c>
      <c r="AF40" s="43"/>
      <c r="AG40" s="30"/>
      <c r="AH40" s="42" t="b">
        <v>0</v>
      </c>
      <c r="AI40" s="43"/>
      <c r="AJ40" s="30"/>
      <c r="AK40" s="42" t="b">
        <v>0</v>
      </c>
      <c r="AL40" s="43"/>
      <c r="AM40" s="30"/>
      <c r="AN40" s="48" t="b">
        <v>0</v>
      </c>
      <c r="AO40" s="43"/>
      <c r="AP40" s="30"/>
      <c r="AQ40" s="48" t="b">
        <v>0</v>
      </c>
    </row>
    <row r="41" spans="1:43" ht="13" x14ac:dyDescent="0.15">
      <c r="A41" s="21" t="s">
        <v>137</v>
      </c>
      <c r="B41" s="34" t="s">
        <v>157</v>
      </c>
      <c r="C41" s="34" t="s">
        <v>158</v>
      </c>
      <c r="D41" s="45" t="s">
        <v>316</v>
      </c>
      <c r="E41" s="36">
        <f t="shared" si="0"/>
        <v>0</v>
      </c>
      <c r="F41" s="37">
        <f t="shared" si="1"/>
        <v>1</v>
      </c>
      <c r="G41" s="37">
        <f t="shared" si="2"/>
        <v>1</v>
      </c>
      <c r="H41" s="38">
        <f t="shared" si="3"/>
        <v>0</v>
      </c>
      <c r="I41" s="39">
        <f t="shared" si="6"/>
        <v>14</v>
      </c>
      <c r="J41" s="40">
        <f t="shared" si="4"/>
        <v>2.564102564102564E-2</v>
      </c>
      <c r="K41" s="46">
        <v>46134</v>
      </c>
      <c r="L41" s="30" t="s">
        <v>20</v>
      </c>
      <c r="M41" s="42" t="b">
        <v>1</v>
      </c>
      <c r="N41" s="47">
        <v>46155</v>
      </c>
      <c r="O41" s="30" t="s">
        <v>19</v>
      </c>
      <c r="P41" s="42" t="b">
        <v>0</v>
      </c>
      <c r="Q41" s="43"/>
      <c r="R41" s="30"/>
      <c r="S41" s="42" t="b">
        <v>1</v>
      </c>
      <c r="T41" s="43"/>
      <c r="U41" s="30"/>
      <c r="V41" s="42" t="b">
        <v>0</v>
      </c>
      <c r="W41" s="43"/>
      <c r="X41" s="30"/>
      <c r="Y41" s="42" t="b">
        <v>0</v>
      </c>
      <c r="Z41" s="43"/>
      <c r="AA41" s="30"/>
      <c r="AB41" s="42" t="b">
        <v>0</v>
      </c>
      <c r="AC41" s="43"/>
      <c r="AD41" s="30"/>
      <c r="AE41" s="42" t="b">
        <v>0</v>
      </c>
      <c r="AF41" s="43"/>
      <c r="AG41" s="30"/>
      <c r="AH41" s="42" t="b">
        <v>0</v>
      </c>
      <c r="AI41" s="43"/>
      <c r="AJ41" s="30"/>
      <c r="AK41" s="42" t="b">
        <v>0</v>
      </c>
      <c r="AL41" s="43"/>
      <c r="AM41" s="30"/>
      <c r="AN41" s="48" t="b">
        <v>0</v>
      </c>
      <c r="AO41" s="43"/>
      <c r="AP41" s="30"/>
      <c r="AQ41" s="48" t="b">
        <v>0</v>
      </c>
    </row>
    <row r="45" spans="1:43" ht="13" x14ac:dyDescent="0.15">
      <c r="M45" s="62" t="s">
        <v>159</v>
      </c>
    </row>
    <row r="53" spans="17:17" ht="13" x14ac:dyDescent="0.15">
      <c r="Q53" s="62" t="s">
        <v>160</v>
      </c>
    </row>
  </sheetData>
  <customSheetViews>
    <customSheetView guid="{288B6905-A0AC-444D-99DA-8E8948982A32}" filter="1" showAutoFilter="1">
      <pageMargins left="0.7" right="0.7" top="0.75" bottom="0.75" header="0.3" footer="0.3"/>
      <autoFilter ref="A6:A37" xr:uid="{F1D7111E-3539-8F4C-9CF2-877A1831940C}">
        <filterColumn colId="0">
          <filters>
            <filter val="AD2"/>
            <filter val="AD3"/>
            <filter val="AD4"/>
          </filters>
        </filterColumn>
      </autoFilter>
    </customSheetView>
  </customSheetViews>
  <mergeCells count="14">
    <mergeCell ref="AL5:AN5"/>
    <mergeCell ref="AO5:AQ5"/>
    <mergeCell ref="E5:H5"/>
    <mergeCell ref="I5:I6"/>
    <mergeCell ref="J5:J6"/>
    <mergeCell ref="K5:M5"/>
    <mergeCell ref="N5:P5"/>
    <mergeCell ref="Q5:S5"/>
    <mergeCell ref="T5:V5"/>
    <mergeCell ref="W5:Y5"/>
    <mergeCell ref="Z5:AB5"/>
    <mergeCell ref="AC5:AE5"/>
    <mergeCell ref="AF5:AH5"/>
    <mergeCell ref="AI5:AK5"/>
  </mergeCells>
  <conditionalFormatting sqref="F7:F41">
    <cfRule type="cellIs" dxfId="8" priority="1" operator="between">
      <formula>3</formula>
      <formula>4</formula>
    </cfRule>
    <cfRule type="cellIs" dxfId="7" priority="2" operator="between">
      <formula>1</formula>
      <formula>2</formula>
    </cfRule>
    <cfRule type="cellIs" dxfId="6" priority="3" operator="greaterThanOrEqual">
      <formula>5</formula>
    </cfRule>
  </conditionalFormatting>
  <dataValidations count="2">
    <dataValidation type="list" allowBlank="1" showErrorMessage="1" sqref="A7:A41" xr:uid="{00000000-0002-0000-0100-000000000000}">
      <formula1>"AD1,AD2,AD3,AD4,AD5,AD6"</formula1>
    </dataValidation>
    <dataValidation type="list" allowBlank="1" showErrorMessage="1" sqref="L7:L41 O7:O41 R7:R41 U7:U41 X7:X41 AA7:AA41 AD7:AD41 AG7:AG41 AJ7:AJ41 AM7:AM41 AP17:AP41" xr:uid="{00000000-0002-0000-0100-000001000000}">
      <formula1>"AJ,AI,AM,Ent,Cg"</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Q85"/>
  <sheetViews>
    <sheetView showGridLines="0" workbookViewId="0">
      <pane xSplit="10" ySplit="6" topLeftCell="K17" activePane="bottomRight" state="frozen"/>
      <selection pane="topRight" activeCell="K1" sqref="K1"/>
      <selection pane="bottomLeft" activeCell="A7" sqref="A7"/>
      <selection pane="bottomRight" activeCell="D24" sqref="D24"/>
    </sheetView>
  </sheetViews>
  <sheetFormatPr baseColWidth="10" defaultColWidth="12.6640625" defaultRowHeight="15.75" customHeight="1" x14ac:dyDescent="0.15"/>
  <cols>
    <col min="1" max="1" width="10.5" customWidth="1"/>
    <col min="2" max="2" width="21.33203125" customWidth="1"/>
    <col min="3" max="3" width="14.33203125" customWidth="1"/>
    <col min="4" max="4" width="7.1640625" customWidth="1"/>
    <col min="5" max="8" width="4.1640625" customWidth="1"/>
    <col min="9" max="9" width="5.6640625" customWidth="1"/>
    <col min="10" max="10" width="7.5" customWidth="1"/>
    <col min="11" max="11" width="10.6640625" customWidth="1"/>
    <col min="12" max="12" width="8.6640625" customWidth="1"/>
    <col min="13" max="14" width="10.6640625" customWidth="1"/>
    <col min="15" max="15" width="8.6640625" customWidth="1"/>
    <col min="16" max="17" width="10.6640625" customWidth="1"/>
    <col min="18" max="18" width="8.83203125" customWidth="1"/>
    <col min="19" max="19" width="10.6640625" customWidth="1"/>
    <col min="21" max="21" width="9.1640625" customWidth="1"/>
    <col min="24" max="24" width="9.6640625" customWidth="1"/>
    <col min="27" max="27" width="9.6640625" customWidth="1"/>
    <col min="30" max="30" width="10.1640625" customWidth="1"/>
    <col min="33" max="33" width="10.6640625" customWidth="1"/>
    <col min="36" max="36" width="10.33203125" customWidth="1"/>
    <col min="39" max="39" width="10.33203125" customWidth="1"/>
  </cols>
  <sheetData>
    <row r="1" spans="1:43" ht="22.5" customHeight="1" x14ac:dyDescent="0.15"/>
    <row r="2" spans="1:43" ht="16" x14ac:dyDescent="0.2">
      <c r="A2" s="1" t="s">
        <v>161</v>
      </c>
      <c r="C2" s="2">
        <v>546</v>
      </c>
    </row>
    <row r="5" spans="1:43" ht="13" x14ac:dyDescent="0.15">
      <c r="A5" s="3"/>
      <c r="B5" s="4"/>
      <c r="C5" s="3"/>
      <c r="D5" s="5"/>
      <c r="E5" s="74" t="s">
        <v>1</v>
      </c>
      <c r="F5" s="72"/>
      <c r="G5" s="72"/>
      <c r="H5" s="73"/>
      <c r="I5" s="75" t="s">
        <v>2</v>
      </c>
      <c r="J5" s="77" t="s">
        <v>3</v>
      </c>
      <c r="K5" s="74" t="s">
        <v>4</v>
      </c>
      <c r="L5" s="72"/>
      <c r="M5" s="73"/>
      <c r="N5" s="71" t="s">
        <v>5</v>
      </c>
      <c r="O5" s="72"/>
      <c r="P5" s="73"/>
      <c r="Q5" s="71" t="s">
        <v>6</v>
      </c>
      <c r="R5" s="72"/>
      <c r="S5" s="73"/>
      <c r="T5" s="71" t="s">
        <v>7</v>
      </c>
      <c r="U5" s="72"/>
      <c r="V5" s="73"/>
      <c r="W5" s="71" t="s">
        <v>8</v>
      </c>
      <c r="X5" s="72"/>
      <c r="Y5" s="73"/>
      <c r="Z5" s="71" t="s">
        <v>9</v>
      </c>
      <c r="AA5" s="72"/>
      <c r="AB5" s="73"/>
      <c r="AC5" s="71" t="s">
        <v>10</v>
      </c>
      <c r="AD5" s="72"/>
      <c r="AE5" s="73"/>
      <c r="AF5" s="71" t="s">
        <v>11</v>
      </c>
      <c r="AG5" s="72"/>
      <c r="AH5" s="73"/>
      <c r="AI5" s="71" t="s">
        <v>12</v>
      </c>
      <c r="AJ5" s="72"/>
      <c r="AK5" s="73"/>
      <c r="AL5" s="71" t="s">
        <v>13</v>
      </c>
      <c r="AM5" s="72"/>
      <c r="AN5" s="73"/>
      <c r="AO5" s="6"/>
      <c r="AP5" s="6"/>
      <c r="AQ5" s="6"/>
    </row>
    <row r="6" spans="1:43" ht="13" x14ac:dyDescent="0.15">
      <c r="A6" s="7" t="s">
        <v>14</v>
      </c>
      <c r="B6" s="8" t="s">
        <v>15</v>
      </c>
      <c r="C6" s="7" t="s">
        <v>16</v>
      </c>
      <c r="D6" s="9" t="s">
        <v>17</v>
      </c>
      <c r="E6" s="10" t="s">
        <v>18</v>
      </c>
      <c r="F6" s="11" t="s">
        <v>19</v>
      </c>
      <c r="G6" s="11" t="s">
        <v>20</v>
      </c>
      <c r="H6" s="12" t="s">
        <v>21</v>
      </c>
      <c r="I6" s="76"/>
      <c r="J6" s="76"/>
      <c r="K6" s="13" t="s">
        <v>22</v>
      </c>
      <c r="L6" s="14" t="s">
        <v>23</v>
      </c>
      <c r="M6" s="15" t="s">
        <v>24</v>
      </c>
      <c r="N6" s="16" t="s">
        <v>22</v>
      </c>
      <c r="O6" s="14" t="s">
        <v>23</v>
      </c>
      <c r="P6" s="15" t="s">
        <v>24</v>
      </c>
      <c r="Q6" s="16" t="s">
        <v>22</v>
      </c>
      <c r="R6" s="14" t="s">
        <v>23</v>
      </c>
      <c r="S6" s="17" t="s">
        <v>25</v>
      </c>
      <c r="T6" s="16" t="s">
        <v>22</v>
      </c>
      <c r="U6" s="14" t="s">
        <v>23</v>
      </c>
      <c r="V6" s="17" t="s">
        <v>25</v>
      </c>
      <c r="W6" s="16" t="s">
        <v>22</v>
      </c>
      <c r="X6" s="14" t="s">
        <v>23</v>
      </c>
      <c r="Y6" s="18" t="s">
        <v>26</v>
      </c>
      <c r="Z6" s="16" t="s">
        <v>22</v>
      </c>
      <c r="AA6" s="14" t="s">
        <v>23</v>
      </c>
      <c r="AB6" s="18" t="s">
        <v>26</v>
      </c>
      <c r="AC6" s="16" t="s">
        <v>22</v>
      </c>
      <c r="AD6" s="14" t="s">
        <v>23</v>
      </c>
      <c r="AE6" s="18" t="s">
        <v>26</v>
      </c>
      <c r="AF6" s="16" t="s">
        <v>22</v>
      </c>
      <c r="AG6" s="14" t="s">
        <v>23</v>
      </c>
      <c r="AH6" s="19" t="s">
        <v>27</v>
      </c>
      <c r="AI6" s="16" t="s">
        <v>22</v>
      </c>
      <c r="AJ6" s="14" t="s">
        <v>23</v>
      </c>
      <c r="AK6" s="19" t="s">
        <v>27</v>
      </c>
      <c r="AL6" s="16" t="s">
        <v>22</v>
      </c>
      <c r="AM6" s="14" t="s">
        <v>23</v>
      </c>
      <c r="AN6" s="19" t="s">
        <v>27</v>
      </c>
      <c r="AO6" s="20"/>
      <c r="AP6" s="20"/>
      <c r="AQ6" s="20"/>
    </row>
    <row r="7" spans="1:43" ht="13" hidden="1" x14ac:dyDescent="0.15">
      <c r="A7" s="21"/>
      <c r="B7" s="22"/>
      <c r="C7" s="22"/>
      <c r="D7" s="23"/>
      <c r="E7" s="24">
        <f t="shared" ref="E7:E85" si="0">COUNTIF(L7:AM7,"AJ")</f>
        <v>0</v>
      </c>
      <c r="F7" s="25">
        <f t="shared" ref="F7:F85" si="1">COUNTIF(L7:AN7,"AI")</f>
        <v>0</v>
      </c>
      <c r="G7" s="25">
        <f t="shared" ref="G7:G85" si="2">COUNTIF(L7:AO7,"AM")</f>
        <v>0</v>
      </c>
      <c r="H7" s="26">
        <f t="shared" ref="H7:H85" si="3">COUNTIF(O7:AP7,"Ent")</f>
        <v>0</v>
      </c>
      <c r="I7" s="63">
        <f>SUM(E7:H7)*7</f>
        <v>0</v>
      </c>
      <c r="J7" s="28">
        <f t="shared" ref="J7:J85" si="4">I7/$C$2</f>
        <v>0</v>
      </c>
      <c r="K7" s="29"/>
      <c r="L7" s="30"/>
      <c r="M7" s="31" t="b">
        <v>0</v>
      </c>
      <c r="N7" s="32"/>
      <c r="O7" s="30"/>
      <c r="P7" s="31" t="b">
        <v>0</v>
      </c>
      <c r="Q7" s="32"/>
      <c r="R7" s="30"/>
      <c r="S7" s="31" t="b">
        <v>0</v>
      </c>
      <c r="T7" s="32"/>
      <c r="U7" s="30"/>
      <c r="V7" s="31" t="b">
        <v>0</v>
      </c>
      <c r="W7" s="32"/>
      <c r="X7" s="30"/>
      <c r="Y7" s="31" t="b">
        <v>0</v>
      </c>
      <c r="Z7" s="32"/>
      <c r="AA7" s="30"/>
      <c r="AB7" s="31" t="b">
        <v>0</v>
      </c>
      <c r="AC7" s="32"/>
      <c r="AD7" s="30"/>
      <c r="AE7" s="31" t="b">
        <v>0</v>
      </c>
      <c r="AF7" s="32"/>
      <c r="AG7" s="30"/>
      <c r="AH7" s="31" t="b">
        <v>0</v>
      </c>
      <c r="AI7" s="32"/>
      <c r="AJ7" s="30"/>
      <c r="AK7" s="31" t="b">
        <v>0</v>
      </c>
      <c r="AL7" s="32"/>
      <c r="AM7" s="30"/>
      <c r="AN7" s="33" t="b">
        <v>0</v>
      </c>
      <c r="AO7" s="20"/>
      <c r="AP7" s="20"/>
      <c r="AQ7" s="20"/>
    </row>
    <row r="8" spans="1:43" ht="13" hidden="1" x14ac:dyDescent="0.15">
      <c r="A8" s="21"/>
      <c r="B8" s="34"/>
      <c r="C8" s="34"/>
      <c r="D8" s="35"/>
      <c r="E8" s="36">
        <f t="shared" si="0"/>
        <v>0</v>
      </c>
      <c r="F8" s="37">
        <f t="shared" si="1"/>
        <v>0</v>
      </c>
      <c r="G8" s="37">
        <f t="shared" si="2"/>
        <v>0</v>
      </c>
      <c r="H8" s="38">
        <f t="shared" si="3"/>
        <v>0</v>
      </c>
      <c r="I8" s="64">
        <f t="shared" ref="I8:I16" si="5">SUM(E8:H8)</f>
        <v>0</v>
      </c>
      <c r="J8" s="40">
        <f t="shared" si="4"/>
        <v>0</v>
      </c>
      <c r="K8" s="41"/>
      <c r="L8" s="30"/>
      <c r="M8" s="42" t="b">
        <v>0</v>
      </c>
      <c r="N8" s="43"/>
      <c r="O8" s="30"/>
      <c r="P8" s="42" t="b">
        <v>0</v>
      </c>
      <c r="Q8" s="43"/>
      <c r="R8" s="30"/>
      <c r="S8" s="42" t="b">
        <v>0</v>
      </c>
      <c r="T8" s="43"/>
      <c r="U8" s="30"/>
      <c r="V8" s="42" t="b">
        <v>0</v>
      </c>
      <c r="W8" s="43"/>
      <c r="X8" s="30"/>
      <c r="Y8" s="42" t="b">
        <v>0</v>
      </c>
      <c r="Z8" s="43"/>
      <c r="AA8" s="30"/>
      <c r="AB8" s="42" t="b">
        <v>0</v>
      </c>
      <c r="AC8" s="43"/>
      <c r="AD8" s="30"/>
      <c r="AE8" s="42" t="b">
        <v>0</v>
      </c>
      <c r="AF8" s="43"/>
      <c r="AG8" s="30"/>
      <c r="AH8" s="42" t="b">
        <v>0</v>
      </c>
      <c r="AI8" s="43"/>
      <c r="AJ8" s="30"/>
      <c r="AK8" s="42" t="b">
        <v>0</v>
      </c>
      <c r="AL8" s="43"/>
      <c r="AM8" s="30"/>
      <c r="AN8" s="44" t="b">
        <v>0</v>
      </c>
      <c r="AO8" s="20"/>
      <c r="AP8" s="20"/>
      <c r="AQ8" s="20"/>
    </row>
    <row r="9" spans="1:43" ht="13" hidden="1" x14ac:dyDescent="0.15">
      <c r="A9" s="21"/>
      <c r="B9" s="34"/>
      <c r="C9" s="34"/>
      <c r="D9" s="35"/>
      <c r="E9" s="36">
        <f t="shared" si="0"/>
        <v>0</v>
      </c>
      <c r="F9" s="37">
        <f t="shared" si="1"/>
        <v>0</v>
      </c>
      <c r="G9" s="37">
        <f t="shared" si="2"/>
        <v>0</v>
      </c>
      <c r="H9" s="38">
        <f t="shared" si="3"/>
        <v>0</v>
      </c>
      <c r="I9" s="64">
        <f t="shared" si="5"/>
        <v>0</v>
      </c>
      <c r="J9" s="40">
        <f t="shared" si="4"/>
        <v>0</v>
      </c>
      <c r="K9" s="41"/>
      <c r="L9" s="30"/>
      <c r="M9" s="42" t="b">
        <v>0</v>
      </c>
      <c r="N9" s="43"/>
      <c r="O9" s="30"/>
      <c r="P9" s="42" t="b">
        <v>0</v>
      </c>
      <c r="Q9" s="43"/>
      <c r="R9" s="30"/>
      <c r="S9" s="42" t="b">
        <v>0</v>
      </c>
      <c r="T9" s="43"/>
      <c r="U9" s="30"/>
      <c r="V9" s="42" t="b">
        <v>0</v>
      </c>
      <c r="W9" s="43"/>
      <c r="X9" s="30"/>
      <c r="Y9" s="42" t="b">
        <v>0</v>
      </c>
      <c r="Z9" s="43"/>
      <c r="AA9" s="30"/>
      <c r="AB9" s="42" t="b">
        <v>0</v>
      </c>
      <c r="AC9" s="43"/>
      <c r="AD9" s="30"/>
      <c r="AE9" s="42" t="b">
        <v>0</v>
      </c>
      <c r="AF9" s="43"/>
      <c r="AG9" s="30"/>
      <c r="AH9" s="42" t="b">
        <v>0</v>
      </c>
      <c r="AI9" s="43"/>
      <c r="AJ9" s="30"/>
      <c r="AK9" s="42" t="b">
        <v>0</v>
      </c>
      <c r="AL9" s="43"/>
      <c r="AM9" s="30"/>
      <c r="AN9" s="44" t="b">
        <v>0</v>
      </c>
      <c r="AO9" s="20"/>
      <c r="AP9" s="20"/>
      <c r="AQ9" s="20"/>
    </row>
    <row r="10" spans="1:43" ht="13" hidden="1" x14ac:dyDescent="0.15">
      <c r="A10" s="21"/>
      <c r="B10" s="34"/>
      <c r="C10" s="34"/>
      <c r="D10" s="35"/>
      <c r="E10" s="36">
        <f t="shared" si="0"/>
        <v>0</v>
      </c>
      <c r="F10" s="37">
        <f t="shared" si="1"/>
        <v>0</v>
      </c>
      <c r="G10" s="37">
        <f t="shared" si="2"/>
        <v>0</v>
      </c>
      <c r="H10" s="38">
        <f t="shared" si="3"/>
        <v>0</v>
      </c>
      <c r="I10" s="64">
        <f t="shared" si="5"/>
        <v>0</v>
      </c>
      <c r="J10" s="40">
        <f t="shared" si="4"/>
        <v>0</v>
      </c>
      <c r="K10" s="41"/>
      <c r="L10" s="30"/>
      <c r="M10" s="42" t="b">
        <v>0</v>
      </c>
      <c r="N10" s="43"/>
      <c r="O10" s="30"/>
      <c r="P10" s="42" t="b">
        <v>0</v>
      </c>
      <c r="Q10" s="43"/>
      <c r="R10" s="30"/>
      <c r="S10" s="42" t="b">
        <v>0</v>
      </c>
      <c r="T10" s="43"/>
      <c r="U10" s="30"/>
      <c r="V10" s="42" t="b">
        <v>0</v>
      </c>
      <c r="W10" s="43"/>
      <c r="X10" s="30"/>
      <c r="Y10" s="42" t="b">
        <v>0</v>
      </c>
      <c r="Z10" s="43"/>
      <c r="AA10" s="30"/>
      <c r="AB10" s="42" t="b">
        <v>0</v>
      </c>
      <c r="AC10" s="43"/>
      <c r="AD10" s="30"/>
      <c r="AE10" s="42" t="b">
        <v>0</v>
      </c>
      <c r="AF10" s="43"/>
      <c r="AG10" s="30"/>
      <c r="AH10" s="42" t="b">
        <v>0</v>
      </c>
      <c r="AI10" s="43"/>
      <c r="AJ10" s="30"/>
      <c r="AK10" s="42" t="b">
        <v>0</v>
      </c>
      <c r="AL10" s="43"/>
      <c r="AM10" s="30"/>
      <c r="AN10" s="44" t="b">
        <v>0</v>
      </c>
      <c r="AO10" s="20"/>
      <c r="AP10" s="20"/>
      <c r="AQ10" s="20"/>
    </row>
    <row r="11" spans="1:43" ht="13" hidden="1" x14ac:dyDescent="0.15">
      <c r="A11" s="21"/>
      <c r="B11" s="34"/>
      <c r="C11" s="34"/>
      <c r="D11" s="35"/>
      <c r="E11" s="36">
        <f t="shared" si="0"/>
        <v>0</v>
      </c>
      <c r="F11" s="37">
        <f t="shared" si="1"/>
        <v>0</v>
      </c>
      <c r="G11" s="37">
        <f t="shared" si="2"/>
        <v>0</v>
      </c>
      <c r="H11" s="38">
        <f t="shared" si="3"/>
        <v>0</v>
      </c>
      <c r="I11" s="64">
        <f t="shared" si="5"/>
        <v>0</v>
      </c>
      <c r="J11" s="40">
        <f t="shared" si="4"/>
        <v>0</v>
      </c>
      <c r="K11" s="41"/>
      <c r="L11" s="30"/>
      <c r="M11" s="42" t="b">
        <v>0</v>
      </c>
      <c r="N11" s="43"/>
      <c r="O11" s="30"/>
      <c r="P11" s="42" t="b">
        <v>0</v>
      </c>
      <c r="Q11" s="43"/>
      <c r="R11" s="30"/>
      <c r="S11" s="42" t="b">
        <v>0</v>
      </c>
      <c r="T11" s="43"/>
      <c r="U11" s="30"/>
      <c r="V11" s="42" t="b">
        <v>0</v>
      </c>
      <c r="W11" s="43"/>
      <c r="X11" s="30"/>
      <c r="Y11" s="42" t="b">
        <v>0</v>
      </c>
      <c r="Z11" s="43"/>
      <c r="AA11" s="30"/>
      <c r="AB11" s="42" t="b">
        <v>0</v>
      </c>
      <c r="AC11" s="43"/>
      <c r="AD11" s="30"/>
      <c r="AE11" s="42" t="b">
        <v>0</v>
      </c>
      <c r="AF11" s="43"/>
      <c r="AG11" s="30"/>
      <c r="AH11" s="42" t="b">
        <v>0</v>
      </c>
      <c r="AI11" s="43"/>
      <c r="AJ11" s="30"/>
      <c r="AK11" s="42" t="b">
        <v>0</v>
      </c>
      <c r="AL11" s="43"/>
      <c r="AM11" s="30"/>
      <c r="AN11" s="44" t="b">
        <v>0</v>
      </c>
      <c r="AO11" s="20"/>
      <c r="AP11" s="20"/>
      <c r="AQ11" s="20"/>
    </row>
    <row r="12" spans="1:43" ht="13" hidden="1" x14ac:dyDescent="0.15">
      <c r="A12" s="21"/>
      <c r="B12" s="34"/>
      <c r="C12" s="34"/>
      <c r="D12" s="35"/>
      <c r="E12" s="36">
        <f t="shared" si="0"/>
        <v>0</v>
      </c>
      <c r="F12" s="37">
        <f t="shared" si="1"/>
        <v>0</v>
      </c>
      <c r="G12" s="37">
        <f t="shared" si="2"/>
        <v>0</v>
      </c>
      <c r="H12" s="38">
        <f t="shared" si="3"/>
        <v>0</v>
      </c>
      <c r="I12" s="64">
        <f t="shared" si="5"/>
        <v>0</v>
      </c>
      <c r="J12" s="40">
        <f t="shared" si="4"/>
        <v>0</v>
      </c>
      <c r="K12" s="41"/>
      <c r="L12" s="30"/>
      <c r="M12" s="42" t="b">
        <v>0</v>
      </c>
      <c r="N12" s="43"/>
      <c r="O12" s="30"/>
      <c r="P12" s="42" t="b">
        <v>0</v>
      </c>
      <c r="Q12" s="43"/>
      <c r="R12" s="30"/>
      <c r="S12" s="42" t="b">
        <v>0</v>
      </c>
      <c r="T12" s="43"/>
      <c r="U12" s="30"/>
      <c r="V12" s="42" t="b">
        <v>0</v>
      </c>
      <c r="W12" s="43"/>
      <c r="X12" s="30"/>
      <c r="Y12" s="42" t="b">
        <v>0</v>
      </c>
      <c r="Z12" s="43"/>
      <c r="AA12" s="30"/>
      <c r="AB12" s="42" t="b">
        <v>0</v>
      </c>
      <c r="AC12" s="43"/>
      <c r="AD12" s="30"/>
      <c r="AE12" s="42" t="b">
        <v>0</v>
      </c>
      <c r="AF12" s="43"/>
      <c r="AG12" s="30"/>
      <c r="AH12" s="42" t="b">
        <v>0</v>
      </c>
      <c r="AI12" s="43"/>
      <c r="AJ12" s="30"/>
      <c r="AK12" s="42" t="b">
        <v>0</v>
      </c>
      <c r="AL12" s="43"/>
      <c r="AM12" s="30"/>
      <c r="AN12" s="44" t="b">
        <v>0</v>
      </c>
      <c r="AO12" s="20"/>
      <c r="AP12" s="20"/>
      <c r="AQ12" s="20"/>
    </row>
    <row r="13" spans="1:43" ht="13" hidden="1" x14ac:dyDescent="0.15">
      <c r="A13" s="21"/>
      <c r="B13" s="34"/>
      <c r="C13" s="34"/>
      <c r="D13" s="35"/>
      <c r="E13" s="36">
        <f t="shared" si="0"/>
        <v>0</v>
      </c>
      <c r="F13" s="37">
        <f t="shared" si="1"/>
        <v>0</v>
      </c>
      <c r="G13" s="37">
        <f t="shared" si="2"/>
        <v>0</v>
      </c>
      <c r="H13" s="38">
        <f t="shared" si="3"/>
        <v>0</v>
      </c>
      <c r="I13" s="64">
        <f t="shared" si="5"/>
        <v>0</v>
      </c>
      <c r="J13" s="40">
        <f t="shared" si="4"/>
        <v>0</v>
      </c>
      <c r="K13" s="41"/>
      <c r="L13" s="30"/>
      <c r="M13" s="42" t="b">
        <v>0</v>
      </c>
      <c r="N13" s="43"/>
      <c r="O13" s="30"/>
      <c r="P13" s="42" t="b">
        <v>0</v>
      </c>
      <c r="Q13" s="43"/>
      <c r="R13" s="30"/>
      <c r="S13" s="42" t="b">
        <v>0</v>
      </c>
      <c r="T13" s="43"/>
      <c r="U13" s="30"/>
      <c r="V13" s="42" t="b">
        <v>0</v>
      </c>
      <c r="W13" s="43"/>
      <c r="X13" s="30"/>
      <c r="Y13" s="42" t="b">
        <v>0</v>
      </c>
      <c r="Z13" s="43"/>
      <c r="AA13" s="30"/>
      <c r="AB13" s="42" t="b">
        <v>0</v>
      </c>
      <c r="AC13" s="43"/>
      <c r="AD13" s="30"/>
      <c r="AE13" s="42" t="b">
        <v>0</v>
      </c>
      <c r="AF13" s="43"/>
      <c r="AG13" s="30"/>
      <c r="AH13" s="42" t="b">
        <v>0</v>
      </c>
      <c r="AI13" s="43"/>
      <c r="AJ13" s="30"/>
      <c r="AK13" s="42" t="b">
        <v>0</v>
      </c>
      <c r="AL13" s="43"/>
      <c r="AM13" s="30"/>
      <c r="AN13" s="44" t="b">
        <v>0</v>
      </c>
      <c r="AO13" s="20"/>
      <c r="AP13" s="20"/>
      <c r="AQ13" s="20"/>
    </row>
    <row r="14" spans="1:43" ht="13" hidden="1" x14ac:dyDescent="0.15">
      <c r="A14" s="21"/>
      <c r="B14" s="34"/>
      <c r="C14" s="34"/>
      <c r="D14" s="35"/>
      <c r="E14" s="36">
        <f t="shared" si="0"/>
        <v>0</v>
      </c>
      <c r="F14" s="37">
        <f t="shared" si="1"/>
        <v>0</v>
      </c>
      <c r="G14" s="37">
        <f t="shared" si="2"/>
        <v>0</v>
      </c>
      <c r="H14" s="38">
        <f t="shared" si="3"/>
        <v>0</v>
      </c>
      <c r="I14" s="64">
        <f t="shared" si="5"/>
        <v>0</v>
      </c>
      <c r="J14" s="40">
        <f t="shared" si="4"/>
        <v>0</v>
      </c>
      <c r="K14" s="41"/>
      <c r="L14" s="30"/>
      <c r="M14" s="42" t="b">
        <v>0</v>
      </c>
      <c r="N14" s="43"/>
      <c r="O14" s="30"/>
      <c r="P14" s="42" t="b">
        <v>0</v>
      </c>
      <c r="Q14" s="43"/>
      <c r="R14" s="30"/>
      <c r="S14" s="42" t="b">
        <v>0</v>
      </c>
      <c r="T14" s="43"/>
      <c r="U14" s="30"/>
      <c r="V14" s="42" t="b">
        <v>0</v>
      </c>
      <c r="W14" s="43"/>
      <c r="X14" s="30"/>
      <c r="Y14" s="42" t="b">
        <v>0</v>
      </c>
      <c r="Z14" s="43"/>
      <c r="AA14" s="30"/>
      <c r="AB14" s="42" t="b">
        <v>0</v>
      </c>
      <c r="AC14" s="43"/>
      <c r="AD14" s="30"/>
      <c r="AE14" s="42" t="b">
        <v>0</v>
      </c>
      <c r="AF14" s="43"/>
      <c r="AG14" s="30"/>
      <c r="AH14" s="42" t="b">
        <v>0</v>
      </c>
      <c r="AI14" s="43"/>
      <c r="AJ14" s="30"/>
      <c r="AK14" s="42" t="b">
        <v>0</v>
      </c>
      <c r="AL14" s="43"/>
      <c r="AM14" s="30"/>
      <c r="AN14" s="44" t="b">
        <v>0</v>
      </c>
      <c r="AO14" s="20"/>
      <c r="AP14" s="20"/>
      <c r="AQ14" s="20"/>
    </row>
    <row r="15" spans="1:43" ht="13" hidden="1" x14ac:dyDescent="0.15">
      <c r="A15" s="21"/>
      <c r="B15" s="34"/>
      <c r="C15" s="34"/>
      <c r="D15" s="35"/>
      <c r="E15" s="36">
        <f t="shared" si="0"/>
        <v>0</v>
      </c>
      <c r="F15" s="37">
        <f t="shared" si="1"/>
        <v>0</v>
      </c>
      <c r="G15" s="37">
        <f t="shared" si="2"/>
        <v>0</v>
      </c>
      <c r="H15" s="38">
        <f t="shared" si="3"/>
        <v>0</v>
      </c>
      <c r="I15" s="64">
        <f t="shared" si="5"/>
        <v>0</v>
      </c>
      <c r="J15" s="40">
        <f t="shared" si="4"/>
        <v>0</v>
      </c>
      <c r="K15" s="41"/>
      <c r="L15" s="30"/>
      <c r="M15" s="42" t="b">
        <v>0</v>
      </c>
      <c r="N15" s="43"/>
      <c r="O15" s="30"/>
      <c r="P15" s="42" t="b">
        <v>0</v>
      </c>
      <c r="Q15" s="43"/>
      <c r="R15" s="30"/>
      <c r="S15" s="42" t="b">
        <v>0</v>
      </c>
      <c r="T15" s="43"/>
      <c r="U15" s="30"/>
      <c r="V15" s="42" t="b">
        <v>0</v>
      </c>
      <c r="W15" s="43"/>
      <c r="X15" s="30"/>
      <c r="Y15" s="42" t="b">
        <v>0</v>
      </c>
      <c r="Z15" s="43"/>
      <c r="AA15" s="30"/>
      <c r="AB15" s="42" t="b">
        <v>0</v>
      </c>
      <c r="AC15" s="43"/>
      <c r="AD15" s="30"/>
      <c r="AE15" s="42" t="b">
        <v>0</v>
      </c>
      <c r="AF15" s="43"/>
      <c r="AG15" s="30"/>
      <c r="AH15" s="42" t="b">
        <v>0</v>
      </c>
      <c r="AI15" s="43"/>
      <c r="AJ15" s="30"/>
      <c r="AK15" s="42" t="b">
        <v>0</v>
      </c>
      <c r="AL15" s="43"/>
      <c r="AM15" s="30"/>
      <c r="AN15" s="44" t="b">
        <v>0</v>
      </c>
      <c r="AO15" s="20"/>
      <c r="AP15" s="20"/>
      <c r="AQ15" s="20"/>
    </row>
    <row r="16" spans="1:43" ht="13" hidden="1" x14ac:dyDescent="0.15">
      <c r="A16" s="21"/>
      <c r="B16" s="34"/>
      <c r="C16" s="34"/>
      <c r="D16" s="35"/>
      <c r="E16" s="36">
        <f t="shared" si="0"/>
        <v>0</v>
      </c>
      <c r="F16" s="37">
        <f t="shared" si="1"/>
        <v>0</v>
      </c>
      <c r="G16" s="37">
        <f t="shared" si="2"/>
        <v>0</v>
      </c>
      <c r="H16" s="38">
        <f t="shared" si="3"/>
        <v>0</v>
      </c>
      <c r="I16" s="64">
        <f t="shared" si="5"/>
        <v>0</v>
      </c>
      <c r="J16" s="40">
        <f t="shared" si="4"/>
        <v>0</v>
      </c>
      <c r="K16" s="41"/>
      <c r="L16" s="30"/>
      <c r="M16" s="42" t="b">
        <v>0</v>
      </c>
      <c r="N16" s="43"/>
      <c r="O16" s="30"/>
      <c r="P16" s="42" t="b">
        <v>0</v>
      </c>
      <c r="Q16" s="43"/>
      <c r="R16" s="30"/>
      <c r="S16" s="42" t="b">
        <v>0</v>
      </c>
      <c r="T16" s="43"/>
      <c r="U16" s="30"/>
      <c r="V16" s="42" t="b">
        <v>0</v>
      </c>
      <c r="W16" s="43"/>
      <c r="X16" s="30"/>
      <c r="Y16" s="42" t="b">
        <v>0</v>
      </c>
      <c r="Z16" s="43"/>
      <c r="AA16" s="30"/>
      <c r="AB16" s="42" t="b">
        <v>0</v>
      </c>
      <c r="AC16" s="43"/>
      <c r="AD16" s="30"/>
      <c r="AE16" s="42" t="b">
        <v>0</v>
      </c>
      <c r="AF16" s="43"/>
      <c r="AG16" s="30"/>
      <c r="AH16" s="42" t="b">
        <v>0</v>
      </c>
      <c r="AI16" s="43"/>
      <c r="AJ16" s="30"/>
      <c r="AK16" s="42" t="b">
        <v>0</v>
      </c>
      <c r="AL16" s="43"/>
      <c r="AM16" s="30"/>
      <c r="AN16" s="44" t="b">
        <v>0</v>
      </c>
      <c r="AO16" s="20"/>
      <c r="AP16" s="20"/>
      <c r="AQ16" s="20"/>
    </row>
    <row r="17" spans="1:43" ht="13" x14ac:dyDescent="0.15">
      <c r="A17" s="21" t="s">
        <v>162</v>
      </c>
      <c r="B17" s="34" t="s">
        <v>97</v>
      </c>
      <c r="C17" s="34" t="s">
        <v>163</v>
      </c>
      <c r="D17" s="45" t="s">
        <v>332</v>
      </c>
      <c r="E17" s="36">
        <f t="shared" si="0"/>
        <v>0</v>
      </c>
      <c r="F17" s="37">
        <f t="shared" si="1"/>
        <v>0</v>
      </c>
      <c r="G17" s="37">
        <f t="shared" si="2"/>
        <v>0</v>
      </c>
      <c r="H17" s="38">
        <f t="shared" si="3"/>
        <v>0</v>
      </c>
      <c r="I17" s="39">
        <f t="shared" ref="I17:I85" si="6">SUM(E17:H17)*7</f>
        <v>0</v>
      </c>
      <c r="J17" s="40">
        <f t="shared" si="4"/>
        <v>0</v>
      </c>
      <c r="K17" s="41"/>
      <c r="L17" s="30"/>
      <c r="M17" s="42" t="b">
        <v>0</v>
      </c>
      <c r="N17" s="43"/>
      <c r="O17" s="30"/>
      <c r="P17" s="42" t="b">
        <v>0</v>
      </c>
      <c r="Q17" s="43"/>
      <c r="R17" s="30"/>
      <c r="S17" s="42" t="b">
        <v>0</v>
      </c>
      <c r="T17" s="43"/>
      <c r="U17" s="30"/>
      <c r="V17" s="42" t="b">
        <v>0</v>
      </c>
      <c r="W17" s="43"/>
      <c r="X17" s="30"/>
      <c r="Y17" s="42" t="b">
        <v>0</v>
      </c>
      <c r="Z17" s="43"/>
      <c r="AA17" s="30"/>
      <c r="AB17" s="42" t="b">
        <v>0</v>
      </c>
      <c r="AC17" s="43"/>
      <c r="AD17" s="30"/>
      <c r="AE17" s="42" t="b">
        <v>0</v>
      </c>
      <c r="AF17" s="43"/>
      <c r="AG17" s="30"/>
      <c r="AH17" s="42" t="b">
        <v>0</v>
      </c>
      <c r="AI17" s="43"/>
      <c r="AJ17" s="30"/>
      <c r="AK17" s="42" t="b">
        <v>0</v>
      </c>
      <c r="AL17" s="43"/>
      <c r="AM17" s="30"/>
      <c r="AN17" s="48" t="b">
        <v>0</v>
      </c>
      <c r="AO17" s="20"/>
      <c r="AP17" s="20"/>
      <c r="AQ17" s="20"/>
    </row>
    <row r="18" spans="1:43" ht="13" x14ac:dyDescent="0.15">
      <c r="A18" s="21" t="s">
        <v>164</v>
      </c>
      <c r="B18" s="34" t="s">
        <v>165</v>
      </c>
      <c r="C18" s="34" t="s">
        <v>166</v>
      </c>
      <c r="D18" s="45" t="s">
        <v>333</v>
      </c>
      <c r="E18" s="36">
        <f t="shared" si="0"/>
        <v>1</v>
      </c>
      <c r="F18" s="37">
        <f t="shared" si="1"/>
        <v>1</v>
      </c>
      <c r="G18" s="37">
        <f t="shared" si="2"/>
        <v>0</v>
      </c>
      <c r="H18" s="38">
        <f t="shared" si="3"/>
        <v>0</v>
      </c>
      <c r="I18" s="39">
        <f t="shared" si="6"/>
        <v>14</v>
      </c>
      <c r="J18" s="40">
        <f t="shared" si="4"/>
        <v>2.564102564102564E-2</v>
      </c>
      <c r="K18" s="46">
        <v>46056</v>
      </c>
      <c r="L18" s="30" t="s">
        <v>18</v>
      </c>
      <c r="M18" s="42" t="b">
        <v>1</v>
      </c>
      <c r="N18" s="47">
        <v>46084</v>
      </c>
      <c r="O18" s="30" t="s">
        <v>34</v>
      </c>
      <c r="P18" s="42" t="b">
        <v>0</v>
      </c>
      <c r="Q18" s="47">
        <v>46091</v>
      </c>
      <c r="R18" s="30" t="s">
        <v>34</v>
      </c>
      <c r="S18" s="42" t="b">
        <v>0</v>
      </c>
      <c r="T18" s="47">
        <v>46154</v>
      </c>
      <c r="U18" s="30" t="s">
        <v>19</v>
      </c>
      <c r="V18" s="42" t="b">
        <v>0</v>
      </c>
      <c r="W18" s="43"/>
      <c r="X18" s="30"/>
      <c r="Y18" s="42" t="b">
        <v>0</v>
      </c>
      <c r="Z18" s="43"/>
      <c r="AA18" s="30"/>
      <c r="AB18" s="42" t="b">
        <v>0</v>
      </c>
      <c r="AC18" s="43"/>
      <c r="AD18" s="30"/>
      <c r="AE18" s="42" t="b">
        <v>0</v>
      </c>
      <c r="AF18" s="43"/>
      <c r="AG18" s="30"/>
      <c r="AH18" s="42" t="b">
        <v>0</v>
      </c>
      <c r="AI18" s="43"/>
      <c r="AJ18" s="30"/>
      <c r="AK18" s="42" t="b">
        <v>0</v>
      </c>
      <c r="AL18" s="43"/>
      <c r="AM18" s="30"/>
      <c r="AN18" s="48" t="b">
        <v>0</v>
      </c>
    </row>
    <row r="19" spans="1:43" ht="13" x14ac:dyDescent="0.15">
      <c r="A19" s="21" t="s">
        <v>164</v>
      </c>
      <c r="B19" s="34" t="s">
        <v>167</v>
      </c>
      <c r="C19" s="34" t="s">
        <v>168</v>
      </c>
      <c r="D19" s="45" t="s">
        <v>334</v>
      </c>
      <c r="E19" s="36">
        <f t="shared" si="0"/>
        <v>0</v>
      </c>
      <c r="F19" s="37">
        <f t="shared" si="1"/>
        <v>1</v>
      </c>
      <c r="G19" s="37">
        <f t="shared" si="2"/>
        <v>0</v>
      </c>
      <c r="H19" s="38">
        <f t="shared" si="3"/>
        <v>0</v>
      </c>
      <c r="I19" s="39">
        <f t="shared" si="6"/>
        <v>7</v>
      </c>
      <c r="J19" s="40">
        <f t="shared" si="4"/>
        <v>1.282051282051282E-2</v>
      </c>
      <c r="K19" s="46">
        <v>46042</v>
      </c>
      <c r="L19" s="30" t="s">
        <v>19</v>
      </c>
      <c r="M19" s="42" t="b">
        <v>0</v>
      </c>
      <c r="N19" s="47"/>
      <c r="O19" s="30"/>
      <c r="P19" s="42" t="b">
        <v>0</v>
      </c>
      <c r="Q19" s="43"/>
      <c r="R19" s="30"/>
      <c r="S19" s="42" t="b">
        <v>0</v>
      </c>
      <c r="T19" s="43"/>
      <c r="U19" s="30"/>
      <c r="V19" s="42" t="b">
        <v>0</v>
      </c>
      <c r="W19" s="43"/>
      <c r="X19" s="30"/>
      <c r="Y19" s="42" t="b">
        <v>0</v>
      </c>
      <c r="Z19" s="43"/>
      <c r="AA19" s="30"/>
      <c r="AB19" s="42" t="b">
        <v>0</v>
      </c>
      <c r="AC19" s="43"/>
      <c r="AD19" s="30"/>
      <c r="AE19" s="42" t="b">
        <v>0</v>
      </c>
      <c r="AF19" s="43"/>
      <c r="AG19" s="30"/>
      <c r="AH19" s="42" t="b">
        <v>0</v>
      </c>
      <c r="AI19" s="43"/>
      <c r="AJ19" s="30"/>
      <c r="AK19" s="42" t="b">
        <v>0</v>
      </c>
      <c r="AL19" s="43"/>
      <c r="AM19" s="30"/>
      <c r="AN19" s="48" t="b">
        <v>0</v>
      </c>
    </row>
    <row r="20" spans="1:43" ht="13" x14ac:dyDescent="0.15">
      <c r="A20" s="21" t="s">
        <v>164</v>
      </c>
      <c r="B20" s="34" t="s">
        <v>169</v>
      </c>
      <c r="C20" s="34" t="s">
        <v>170</v>
      </c>
      <c r="D20" s="45" t="s">
        <v>335</v>
      </c>
      <c r="E20" s="36">
        <f t="shared" si="0"/>
        <v>0</v>
      </c>
      <c r="F20" s="37">
        <f t="shared" si="1"/>
        <v>1</v>
      </c>
      <c r="G20" s="37">
        <f t="shared" si="2"/>
        <v>0</v>
      </c>
      <c r="H20" s="38">
        <f t="shared" si="3"/>
        <v>0</v>
      </c>
      <c r="I20" s="39">
        <f t="shared" si="6"/>
        <v>7</v>
      </c>
      <c r="J20" s="40">
        <f t="shared" si="4"/>
        <v>1.282051282051282E-2</v>
      </c>
      <c r="K20" s="46">
        <v>46070</v>
      </c>
      <c r="L20" s="30" t="s">
        <v>19</v>
      </c>
      <c r="M20" s="42" t="b">
        <v>1</v>
      </c>
      <c r="N20" s="43"/>
      <c r="O20" s="30"/>
      <c r="P20" s="42" t="b">
        <v>0</v>
      </c>
      <c r="Q20" s="43"/>
      <c r="R20" s="30"/>
      <c r="S20" s="42" t="b">
        <v>0</v>
      </c>
      <c r="T20" s="43"/>
      <c r="U20" s="30"/>
      <c r="V20" s="42" t="b">
        <v>0</v>
      </c>
      <c r="W20" s="43"/>
      <c r="X20" s="30"/>
      <c r="Y20" s="42" t="b">
        <v>0</v>
      </c>
      <c r="Z20" s="43"/>
      <c r="AA20" s="30"/>
      <c r="AB20" s="42" t="b">
        <v>0</v>
      </c>
      <c r="AC20" s="43"/>
      <c r="AD20" s="30"/>
      <c r="AE20" s="42" t="b">
        <v>0</v>
      </c>
      <c r="AF20" s="43"/>
      <c r="AG20" s="30"/>
      <c r="AH20" s="42" t="b">
        <v>0</v>
      </c>
      <c r="AI20" s="43"/>
      <c r="AJ20" s="30"/>
      <c r="AK20" s="42" t="b">
        <v>0</v>
      </c>
      <c r="AL20" s="43"/>
      <c r="AM20" s="30"/>
      <c r="AN20" s="48" t="b">
        <v>0</v>
      </c>
    </row>
    <row r="21" spans="1:43" ht="13" x14ac:dyDescent="0.15">
      <c r="A21" s="21" t="s">
        <v>171</v>
      </c>
      <c r="B21" s="34" t="s">
        <v>172</v>
      </c>
      <c r="C21" s="34" t="s">
        <v>173</v>
      </c>
      <c r="D21" s="45" t="s">
        <v>336</v>
      </c>
      <c r="E21" s="36">
        <f t="shared" si="0"/>
        <v>0</v>
      </c>
      <c r="F21" s="37">
        <f t="shared" si="1"/>
        <v>4</v>
      </c>
      <c r="G21" s="37">
        <f t="shared" si="2"/>
        <v>1</v>
      </c>
      <c r="H21" s="38">
        <f t="shared" si="3"/>
        <v>0</v>
      </c>
      <c r="I21" s="39">
        <f t="shared" si="6"/>
        <v>35</v>
      </c>
      <c r="J21" s="40">
        <f t="shared" si="4"/>
        <v>6.4102564102564097E-2</v>
      </c>
      <c r="K21" s="46">
        <v>46064</v>
      </c>
      <c r="L21" s="30" t="s">
        <v>19</v>
      </c>
      <c r="M21" s="42" t="b">
        <v>1</v>
      </c>
      <c r="N21" s="47">
        <v>46092</v>
      </c>
      <c r="O21" s="30" t="s">
        <v>19</v>
      </c>
      <c r="P21" s="42" t="b">
        <v>0</v>
      </c>
      <c r="Q21" s="47">
        <v>46099</v>
      </c>
      <c r="R21" s="30" t="s">
        <v>19</v>
      </c>
      <c r="S21" s="42" t="b">
        <v>0</v>
      </c>
      <c r="T21" s="47">
        <v>46120</v>
      </c>
      <c r="U21" s="30" t="s">
        <v>20</v>
      </c>
      <c r="V21" s="42" t="b">
        <v>0</v>
      </c>
      <c r="W21" s="43" t="s">
        <v>174</v>
      </c>
      <c r="X21" s="30" t="s">
        <v>19</v>
      </c>
      <c r="Y21" s="42" t="b">
        <v>1</v>
      </c>
      <c r="Z21" s="43"/>
      <c r="AA21" s="30"/>
      <c r="AB21" s="42" t="b">
        <v>0</v>
      </c>
      <c r="AC21" s="43"/>
      <c r="AD21" s="30"/>
      <c r="AE21" s="42" t="b">
        <v>0</v>
      </c>
      <c r="AF21" s="43"/>
      <c r="AG21" s="30"/>
      <c r="AH21" s="42" t="b">
        <v>0</v>
      </c>
      <c r="AI21" s="43"/>
      <c r="AJ21" s="30"/>
      <c r="AK21" s="42" t="b">
        <v>0</v>
      </c>
      <c r="AL21" s="43"/>
      <c r="AM21" s="30"/>
      <c r="AN21" s="48" t="b">
        <v>0</v>
      </c>
    </row>
    <row r="22" spans="1:43" ht="13" x14ac:dyDescent="0.15">
      <c r="A22" s="21" t="s">
        <v>171</v>
      </c>
      <c r="B22" s="34" t="s">
        <v>175</v>
      </c>
      <c r="C22" s="34" t="s">
        <v>176</v>
      </c>
      <c r="D22" s="45" t="s">
        <v>336</v>
      </c>
      <c r="E22" s="36">
        <f t="shared" si="0"/>
        <v>0</v>
      </c>
      <c r="F22" s="37">
        <f t="shared" si="1"/>
        <v>3</v>
      </c>
      <c r="G22" s="37">
        <f t="shared" si="2"/>
        <v>0</v>
      </c>
      <c r="H22" s="38">
        <f t="shared" si="3"/>
        <v>7</v>
      </c>
      <c r="I22" s="39">
        <f t="shared" si="6"/>
        <v>70</v>
      </c>
      <c r="J22" s="40">
        <f t="shared" si="4"/>
        <v>0.12820512820512819</v>
      </c>
      <c r="K22" s="46">
        <v>46057</v>
      </c>
      <c r="L22" s="30" t="s">
        <v>19</v>
      </c>
      <c r="M22" s="42" t="b">
        <v>0</v>
      </c>
      <c r="N22" s="47">
        <v>46078</v>
      </c>
      <c r="O22" s="30" t="s">
        <v>19</v>
      </c>
      <c r="P22" s="42" t="b">
        <v>0</v>
      </c>
      <c r="Q22" s="47">
        <v>46085</v>
      </c>
      <c r="R22" s="30" t="s">
        <v>21</v>
      </c>
      <c r="S22" s="42" t="b">
        <v>0</v>
      </c>
      <c r="T22" s="47">
        <v>46092</v>
      </c>
      <c r="U22" s="30" t="s">
        <v>21</v>
      </c>
      <c r="V22" s="42" t="b">
        <v>1</v>
      </c>
      <c r="W22" s="47">
        <v>46099</v>
      </c>
      <c r="X22" s="30" t="s">
        <v>21</v>
      </c>
      <c r="Y22" s="42" t="b">
        <v>1</v>
      </c>
      <c r="Z22" s="47">
        <v>46113</v>
      </c>
      <c r="AA22" s="30" t="s">
        <v>21</v>
      </c>
      <c r="AB22" s="42" t="b">
        <v>0</v>
      </c>
      <c r="AC22" s="47">
        <v>46120</v>
      </c>
      <c r="AD22" s="30" t="s">
        <v>21</v>
      </c>
      <c r="AE22" s="42" t="b">
        <v>0</v>
      </c>
      <c r="AF22" s="47">
        <v>46127</v>
      </c>
      <c r="AG22" s="30" t="s">
        <v>21</v>
      </c>
      <c r="AH22" s="42" t="b">
        <v>0</v>
      </c>
      <c r="AI22" s="47">
        <v>46134</v>
      </c>
      <c r="AJ22" s="30" t="s">
        <v>21</v>
      </c>
      <c r="AK22" s="42" t="b">
        <v>1</v>
      </c>
      <c r="AL22" s="47">
        <v>46155</v>
      </c>
      <c r="AM22" s="30" t="s">
        <v>19</v>
      </c>
      <c r="AN22" s="48" t="b">
        <v>0</v>
      </c>
    </row>
    <row r="23" spans="1:43" ht="13" x14ac:dyDescent="0.15">
      <c r="A23" s="21" t="s">
        <v>171</v>
      </c>
      <c r="B23" s="34" t="s">
        <v>177</v>
      </c>
      <c r="C23" s="34" t="s">
        <v>178</v>
      </c>
      <c r="D23" s="45" t="s">
        <v>337</v>
      </c>
      <c r="E23" s="36">
        <f t="shared" si="0"/>
        <v>0</v>
      </c>
      <c r="F23" s="37">
        <f t="shared" si="1"/>
        <v>5</v>
      </c>
      <c r="G23" s="37">
        <f t="shared" si="2"/>
        <v>0</v>
      </c>
      <c r="H23" s="38">
        <f t="shared" si="3"/>
        <v>3</v>
      </c>
      <c r="I23" s="39">
        <f t="shared" si="6"/>
        <v>56</v>
      </c>
      <c r="J23" s="40">
        <f t="shared" si="4"/>
        <v>0.10256410256410256</v>
      </c>
      <c r="K23" s="46">
        <v>46064</v>
      </c>
      <c r="L23" s="30" t="s">
        <v>21</v>
      </c>
      <c r="M23" s="42" t="b">
        <v>1</v>
      </c>
      <c r="N23" s="47">
        <v>46036</v>
      </c>
      <c r="O23" s="30" t="s">
        <v>21</v>
      </c>
      <c r="P23" s="42" t="b">
        <v>1</v>
      </c>
      <c r="Q23" s="47">
        <v>46078</v>
      </c>
      <c r="R23" s="30" t="s">
        <v>19</v>
      </c>
      <c r="S23" s="42" t="b">
        <v>0</v>
      </c>
      <c r="T23" s="47">
        <v>46092</v>
      </c>
      <c r="U23" s="30" t="s">
        <v>21</v>
      </c>
      <c r="V23" s="42" t="b">
        <v>1</v>
      </c>
      <c r="W23" s="47">
        <v>46099</v>
      </c>
      <c r="X23" s="30" t="s">
        <v>21</v>
      </c>
      <c r="Y23" s="42" t="b">
        <v>0</v>
      </c>
      <c r="Z23" s="47">
        <v>46148</v>
      </c>
      <c r="AA23" s="30" t="s">
        <v>19</v>
      </c>
      <c r="AB23" s="42" t="b">
        <v>0</v>
      </c>
      <c r="AC23" s="47">
        <v>46155</v>
      </c>
      <c r="AD23" s="30" t="s">
        <v>19</v>
      </c>
      <c r="AE23" s="42" t="b">
        <v>0</v>
      </c>
      <c r="AF23" s="47">
        <v>46162</v>
      </c>
      <c r="AG23" s="30" t="s">
        <v>19</v>
      </c>
      <c r="AH23" s="42" t="b">
        <v>0</v>
      </c>
      <c r="AI23" s="47">
        <v>46169</v>
      </c>
      <c r="AJ23" s="30" t="s">
        <v>19</v>
      </c>
      <c r="AK23" s="42" t="b">
        <v>0</v>
      </c>
      <c r="AL23" s="43"/>
      <c r="AM23" s="30"/>
      <c r="AN23" s="48" t="b">
        <v>0</v>
      </c>
    </row>
    <row r="24" spans="1:43" ht="13" x14ac:dyDescent="0.15">
      <c r="A24" s="21" t="s">
        <v>171</v>
      </c>
      <c r="B24" s="34" t="s">
        <v>179</v>
      </c>
      <c r="C24" s="34" t="s">
        <v>180</v>
      </c>
      <c r="D24" s="45" t="s">
        <v>338</v>
      </c>
      <c r="E24" s="36">
        <f t="shared" si="0"/>
        <v>0</v>
      </c>
      <c r="F24" s="37">
        <f t="shared" si="1"/>
        <v>4</v>
      </c>
      <c r="G24" s="37">
        <f t="shared" si="2"/>
        <v>0</v>
      </c>
      <c r="H24" s="38">
        <f t="shared" si="3"/>
        <v>0</v>
      </c>
      <c r="I24" s="39">
        <f t="shared" si="6"/>
        <v>28</v>
      </c>
      <c r="J24" s="40">
        <f t="shared" si="4"/>
        <v>5.128205128205128E-2</v>
      </c>
      <c r="K24" s="46">
        <v>46064</v>
      </c>
      <c r="L24" s="30" t="s">
        <v>34</v>
      </c>
      <c r="M24" s="42" t="b">
        <v>1</v>
      </c>
      <c r="N24" s="47">
        <v>46092</v>
      </c>
      <c r="O24" s="30" t="s">
        <v>19</v>
      </c>
      <c r="P24" s="42" t="b">
        <v>0</v>
      </c>
      <c r="Q24" s="47">
        <v>46120</v>
      </c>
      <c r="R24" s="30" t="s">
        <v>19</v>
      </c>
      <c r="S24" s="42" t="b">
        <v>0</v>
      </c>
      <c r="T24" s="47">
        <v>46134</v>
      </c>
      <c r="U24" s="30" t="s">
        <v>19</v>
      </c>
      <c r="V24" s="42" t="b">
        <v>0</v>
      </c>
      <c r="W24" s="47">
        <v>46148</v>
      </c>
      <c r="X24" s="30" t="s">
        <v>19</v>
      </c>
      <c r="Y24" s="42" t="b">
        <v>0</v>
      </c>
      <c r="Z24" s="43"/>
      <c r="AA24" s="30"/>
      <c r="AB24" s="42" t="b">
        <v>0</v>
      </c>
      <c r="AC24" s="43"/>
      <c r="AD24" s="30"/>
      <c r="AE24" s="42" t="b">
        <v>0</v>
      </c>
      <c r="AF24" s="43"/>
      <c r="AG24" s="30"/>
      <c r="AH24" s="42" t="b">
        <v>0</v>
      </c>
      <c r="AI24" s="43"/>
      <c r="AJ24" s="30"/>
      <c r="AK24" s="42" t="b">
        <v>0</v>
      </c>
      <c r="AL24" s="43"/>
      <c r="AM24" s="30"/>
      <c r="AN24" s="48" t="b">
        <v>0</v>
      </c>
    </row>
    <row r="25" spans="1:43" ht="13" x14ac:dyDescent="0.15">
      <c r="A25" s="21" t="s">
        <v>181</v>
      </c>
      <c r="B25" s="34" t="s">
        <v>182</v>
      </c>
      <c r="C25" s="34" t="s">
        <v>183</v>
      </c>
      <c r="D25" s="45" t="s">
        <v>339</v>
      </c>
      <c r="E25" s="36">
        <f t="shared" si="0"/>
        <v>0</v>
      </c>
      <c r="F25" s="37">
        <f t="shared" si="1"/>
        <v>1</v>
      </c>
      <c r="G25" s="37">
        <f t="shared" si="2"/>
        <v>0</v>
      </c>
      <c r="H25" s="38">
        <f t="shared" si="3"/>
        <v>1</v>
      </c>
      <c r="I25" s="39">
        <f t="shared" si="6"/>
        <v>14</v>
      </c>
      <c r="J25" s="40">
        <f t="shared" si="4"/>
        <v>2.564102564102564E-2</v>
      </c>
      <c r="K25" s="46">
        <v>46031</v>
      </c>
      <c r="L25" s="30" t="s">
        <v>21</v>
      </c>
      <c r="M25" s="42" t="b">
        <v>0</v>
      </c>
      <c r="N25" s="47">
        <v>46059</v>
      </c>
      <c r="O25" s="30" t="s">
        <v>19</v>
      </c>
      <c r="P25" s="42" t="b">
        <v>0</v>
      </c>
      <c r="Q25" s="47">
        <v>46108</v>
      </c>
      <c r="R25" s="30" t="s">
        <v>21</v>
      </c>
      <c r="S25" s="42" t="b">
        <v>1</v>
      </c>
      <c r="T25" s="43"/>
      <c r="U25" s="30"/>
      <c r="V25" s="42" t="b">
        <v>0</v>
      </c>
      <c r="W25" s="43"/>
      <c r="X25" s="30"/>
      <c r="Y25" s="42" t="b">
        <v>0</v>
      </c>
      <c r="Z25" s="43"/>
      <c r="AA25" s="30"/>
      <c r="AB25" s="42" t="b">
        <v>0</v>
      </c>
      <c r="AC25" s="43"/>
      <c r="AD25" s="30"/>
      <c r="AE25" s="42" t="b">
        <v>0</v>
      </c>
      <c r="AF25" s="43"/>
      <c r="AG25" s="30"/>
      <c r="AH25" s="42" t="b">
        <v>0</v>
      </c>
      <c r="AI25" s="43"/>
      <c r="AJ25" s="30"/>
      <c r="AK25" s="42" t="b">
        <v>0</v>
      </c>
      <c r="AL25" s="43"/>
      <c r="AM25" s="30"/>
      <c r="AN25" s="48" t="b">
        <v>0</v>
      </c>
    </row>
    <row r="26" spans="1:43" ht="13" x14ac:dyDescent="0.15">
      <c r="A26" s="21" t="s">
        <v>181</v>
      </c>
      <c r="B26" s="34" t="s">
        <v>184</v>
      </c>
      <c r="C26" s="34" t="s">
        <v>185</v>
      </c>
      <c r="D26" s="45" t="s">
        <v>340</v>
      </c>
      <c r="E26" s="36">
        <f t="shared" si="0"/>
        <v>0</v>
      </c>
      <c r="F26" s="37">
        <f t="shared" si="1"/>
        <v>3</v>
      </c>
      <c r="G26" s="37">
        <f t="shared" si="2"/>
        <v>0</v>
      </c>
      <c r="H26" s="38">
        <f t="shared" si="3"/>
        <v>0</v>
      </c>
      <c r="I26" s="39">
        <f t="shared" si="6"/>
        <v>21</v>
      </c>
      <c r="J26" s="40">
        <f t="shared" si="4"/>
        <v>3.8461538461538464E-2</v>
      </c>
      <c r="K26" s="46">
        <v>46073</v>
      </c>
      <c r="L26" s="30" t="s">
        <v>19</v>
      </c>
      <c r="M26" s="42" t="b">
        <v>0</v>
      </c>
      <c r="N26" s="47">
        <v>46094</v>
      </c>
      <c r="O26" s="30" t="s">
        <v>19</v>
      </c>
      <c r="P26" s="42" t="b">
        <v>1</v>
      </c>
      <c r="Q26" s="47">
        <v>46122</v>
      </c>
      <c r="R26" s="30" t="s">
        <v>19</v>
      </c>
      <c r="S26" s="42" t="b">
        <v>0</v>
      </c>
      <c r="T26" s="43"/>
      <c r="U26" s="30"/>
      <c r="V26" s="42" t="b">
        <v>0</v>
      </c>
      <c r="W26" s="43"/>
      <c r="X26" s="30"/>
      <c r="Y26" s="42" t="b">
        <v>0</v>
      </c>
      <c r="Z26" s="43"/>
      <c r="AA26" s="30"/>
      <c r="AB26" s="42" t="b">
        <v>0</v>
      </c>
      <c r="AC26" s="43"/>
      <c r="AD26" s="30"/>
      <c r="AE26" s="42" t="b">
        <v>0</v>
      </c>
      <c r="AF26" s="43"/>
      <c r="AG26" s="30"/>
      <c r="AH26" s="42" t="b">
        <v>0</v>
      </c>
      <c r="AI26" s="43"/>
      <c r="AJ26" s="30"/>
      <c r="AK26" s="42" t="b">
        <v>0</v>
      </c>
      <c r="AL26" s="43"/>
      <c r="AM26" s="30"/>
      <c r="AN26" s="48" t="b">
        <v>0</v>
      </c>
    </row>
    <row r="27" spans="1:43" ht="13" x14ac:dyDescent="0.15">
      <c r="A27" s="21" t="s">
        <v>181</v>
      </c>
      <c r="B27" s="34" t="s">
        <v>186</v>
      </c>
      <c r="C27" s="34" t="s">
        <v>187</v>
      </c>
      <c r="D27" s="45" t="s">
        <v>341</v>
      </c>
      <c r="E27" s="36">
        <f t="shared" si="0"/>
        <v>0</v>
      </c>
      <c r="F27" s="37">
        <f t="shared" si="1"/>
        <v>0</v>
      </c>
      <c r="G27" s="37">
        <f t="shared" si="2"/>
        <v>0</v>
      </c>
      <c r="H27" s="38">
        <f t="shared" si="3"/>
        <v>2</v>
      </c>
      <c r="I27" s="39">
        <f t="shared" si="6"/>
        <v>14</v>
      </c>
      <c r="J27" s="40">
        <f t="shared" si="4"/>
        <v>2.564102564102564E-2</v>
      </c>
      <c r="K27" s="46">
        <v>46101</v>
      </c>
      <c r="L27" s="30" t="s">
        <v>21</v>
      </c>
      <c r="M27" s="42" t="b">
        <v>1</v>
      </c>
      <c r="N27" s="47">
        <v>46094</v>
      </c>
      <c r="O27" s="30" t="s">
        <v>21</v>
      </c>
      <c r="P27" s="42" t="b">
        <v>0</v>
      </c>
      <c r="Q27" s="47">
        <v>46101</v>
      </c>
      <c r="R27" s="30" t="s">
        <v>21</v>
      </c>
      <c r="S27" s="42" t="b">
        <v>1</v>
      </c>
      <c r="T27" s="47"/>
      <c r="U27" s="30"/>
      <c r="V27" s="42" t="b">
        <v>0</v>
      </c>
      <c r="W27" s="43"/>
      <c r="X27" s="30"/>
      <c r="Y27" s="42" t="b">
        <v>0</v>
      </c>
      <c r="Z27" s="43"/>
      <c r="AA27" s="30"/>
      <c r="AB27" s="42" t="b">
        <v>0</v>
      </c>
      <c r="AC27" s="43"/>
      <c r="AD27" s="30"/>
      <c r="AE27" s="42" t="b">
        <v>0</v>
      </c>
      <c r="AF27" s="43"/>
      <c r="AG27" s="30"/>
      <c r="AH27" s="42" t="b">
        <v>0</v>
      </c>
      <c r="AI27" s="43"/>
      <c r="AJ27" s="30"/>
      <c r="AK27" s="42" t="b">
        <v>0</v>
      </c>
      <c r="AL27" s="43"/>
      <c r="AM27" s="30"/>
      <c r="AN27" s="48" t="b">
        <v>0</v>
      </c>
    </row>
    <row r="28" spans="1:43" ht="13" x14ac:dyDescent="0.15">
      <c r="A28" s="21" t="s">
        <v>181</v>
      </c>
      <c r="B28" s="34" t="s">
        <v>188</v>
      </c>
      <c r="C28" s="34" t="s">
        <v>189</v>
      </c>
      <c r="D28" s="45" t="s">
        <v>342</v>
      </c>
      <c r="E28" s="36">
        <f t="shared" si="0"/>
        <v>1</v>
      </c>
      <c r="F28" s="37">
        <f t="shared" si="1"/>
        <v>7</v>
      </c>
      <c r="G28" s="37">
        <f t="shared" si="2"/>
        <v>0</v>
      </c>
      <c r="H28" s="38">
        <f t="shared" si="3"/>
        <v>0</v>
      </c>
      <c r="I28" s="39">
        <f t="shared" si="6"/>
        <v>56</v>
      </c>
      <c r="J28" s="40">
        <f t="shared" si="4"/>
        <v>0.10256410256410256</v>
      </c>
      <c r="K28" s="46">
        <v>46080</v>
      </c>
      <c r="L28" s="30" t="s">
        <v>21</v>
      </c>
      <c r="M28" s="42" t="b">
        <v>0</v>
      </c>
      <c r="N28" s="47">
        <v>46087</v>
      </c>
      <c r="O28" s="30" t="s">
        <v>18</v>
      </c>
      <c r="P28" s="42" t="b">
        <v>1</v>
      </c>
      <c r="Q28" s="43" t="s">
        <v>190</v>
      </c>
      <c r="R28" s="30" t="s">
        <v>19</v>
      </c>
      <c r="S28" s="42" t="b">
        <v>1</v>
      </c>
      <c r="T28" s="47">
        <v>46101</v>
      </c>
      <c r="U28" s="30" t="s">
        <v>19</v>
      </c>
      <c r="V28" s="42" t="b">
        <v>1</v>
      </c>
      <c r="W28" s="47">
        <v>46111</v>
      </c>
      <c r="X28" s="30" t="s">
        <v>19</v>
      </c>
      <c r="Y28" s="42" t="b">
        <v>1</v>
      </c>
      <c r="Z28" s="47">
        <v>46129</v>
      </c>
      <c r="AA28" s="30" t="s">
        <v>19</v>
      </c>
      <c r="AB28" s="42" t="b">
        <v>0</v>
      </c>
      <c r="AC28" s="47">
        <v>46115</v>
      </c>
      <c r="AD28" s="30" t="s">
        <v>19</v>
      </c>
      <c r="AE28" s="42" t="b">
        <v>0</v>
      </c>
      <c r="AF28" s="43" t="s">
        <v>191</v>
      </c>
      <c r="AG28" s="30" t="s">
        <v>19</v>
      </c>
      <c r="AH28" s="42" t="b">
        <v>0</v>
      </c>
      <c r="AI28" s="47">
        <v>46136</v>
      </c>
      <c r="AJ28" s="30" t="s">
        <v>19</v>
      </c>
      <c r="AK28" s="42" t="b">
        <v>0</v>
      </c>
      <c r="AL28" s="43"/>
      <c r="AM28" s="30"/>
      <c r="AN28" s="48" t="b">
        <v>0</v>
      </c>
    </row>
    <row r="29" spans="1:43" ht="13" x14ac:dyDescent="0.15">
      <c r="A29" s="21" t="s">
        <v>181</v>
      </c>
      <c r="B29" s="34" t="s">
        <v>192</v>
      </c>
      <c r="C29" s="34" t="s">
        <v>193</v>
      </c>
      <c r="D29" s="45" t="s">
        <v>343</v>
      </c>
      <c r="E29" s="36">
        <f t="shared" si="0"/>
        <v>0</v>
      </c>
      <c r="F29" s="37">
        <f t="shared" si="1"/>
        <v>1</v>
      </c>
      <c r="G29" s="37">
        <f t="shared" si="2"/>
        <v>0</v>
      </c>
      <c r="H29" s="38">
        <f t="shared" si="3"/>
        <v>0</v>
      </c>
      <c r="I29" s="39">
        <f t="shared" si="6"/>
        <v>7</v>
      </c>
      <c r="J29" s="40">
        <f t="shared" si="4"/>
        <v>1.282051282051282E-2</v>
      </c>
      <c r="K29" s="46">
        <v>46059</v>
      </c>
      <c r="L29" s="30" t="s">
        <v>19</v>
      </c>
      <c r="M29" s="42" t="b">
        <v>0</v>
      </c>
      <c r="N29" s="43"/>
      <c r="O29" s="30"/>
      <c r="P29" s="42" t="b">
        <v>0</v>
      </c>
      <c r="Q29" s="43"/>
      <c r="R29" s="30"/>
      <c r="S29" s="42" t="b">
        <v>0</v>
      </c>
      <c r="T29" s="43"/>
      <c r="U29" s="30"/>
      <c r="V29" s="42" t="b">
        <v>0</v>
      </c>
      <c r="W29" s="43"/>
      <c r="X29" s="30"/>
      <c r="Y29" s="42" t="b">
        <v>0</v>
      </c>
      <c r="Z29" s="43"/>
      <c r="AA29" s="30"/>
      <c r="AB29" s="42" t="b">
        <v>0</v>
      </c>
      <c r="AC29" s="43"/>
      <c r="AD29" s="30"/>
      <c r="AE29" s="42" t="b">
        <v>0</v>
      </c>
      <c r="AF29" s="43"/>
      <c r="AG29" s="30"/>
      <c r="AH29" s="42" t="b">
        <v>0</v>
      </c>
      <c r="AI29" s="43"/>
      <c r="AJ29" s="30"/>
      <c r="AK29" s="42" t="b">
        <v>0</v>
      </c>
      <c r="AL29" s="43"/>
      <c r="AM29" s="30"/>
      <c r="AN29" s="48" t="b">
        <v>0</v>
      </c>
    </row>
    <row r="30" spans="1:43" ht="13" x14ac:dyDescent="0.15">
      <c r="A30" s="21" t="s">
        <v>181</v>
      </c>
      <c r="B30" s="34" t="s">
        <v>194</v>
      </c>
      <c r="C30" s="34" t="s">
        <v>195</v>
      </c>
      <c r="D30" s="45" t="s">
        <v>344</v>
      </c>
      <c r="E30" s="36">
        <f t="shared" si="0"/>
        <v>0</v>
      </c>
      <c r="F30" s="37">
        <f t="shared" si="1"/>
        <v>1</v>
      </c>
      <c r="G30" s="37">
        <f t="shared" si="2"/>
        <v>2</v>
      </c>
      <c r="H30" s="38">
        <f t="shared" si="3"/>
        <v>0</v>
      </c>
      <c r="I30" s="39">
        <f t="shared" si="6"/>
        <v>21</v>
      </c>
      <c r="J30" s="40">
        <f t="shared" si="4"/>
        <v>3.8461538461538464E-2</v>
      </c>
      <c r="K30" s="46">
        <v>46052</v>
      </c>
      <c r="L30" s="30" t="s">
        <v>20</v>
      </c>
      <c r="M30" s="42" t="b">
        <v>1</v>
      </c>
      <c r="N30" s="47">
        <v>46066</v>
      </c>
      <c r="O30" s="30" t="s">
        <v>19</v>
      </c>
      <c r="P30" s="42" t="b">
        <v>0</v>
      </c>
      <c r="Q30" s="43" t="s">
        <v>196</v>
      </c>
      <c r="R30" s="30" t="s">
        <v>20</v>
      </c>
      <c r="S30" s="42" t="b">
        <v>1</v>
      </c>
      <c r="T30" s="43"/>
      <c r="U30" s="30"/>
      <c r="V30" s="42" t="b">
        <v>0</v>
      </c>
      <c r="W30" s="43"/>
      <c r="X30" s="30"/>
      <c r="Y30" s="42" t="b">
        <v>0</v>
      </c>
      <c r="Z30" s="43"/>
      <c r="AA30" s="30"/>
      <c r="AB30" s="42" t="b">
        <v>0</v>
      </c>
      <c r="AC30" s="43"/>
      <c r="AD30" s="30"/>
      <c r="AE30" s="42" t="b">
        <v>0</v>
      </c>
      <c r="AF30" s="43"/>
      <c r="AG30" s="30"/>
      <c r="AH30" s="42" t="b">
        <v>0</v>
      </c>
      <c r="AI30" s="43"/>
      <c r="AJ30" s="30"/>
      <c r="AK30" s="42" t="b">
        <v>0</v>
      </c>
      <c r="AL30" s="43"/>
      <c r="AM30" s="30"/>
      <c r="AN30" s="48" t="b">
        <v>0</v>
      </c>
    </row>
    <row r="31" spans="1:43" ht="13" x14ac:dyDescent="0.15">
      <c r="A31" s="21" t="s">
        <v>181</v>
      </c>
      <c r="B31" s="34" t="s">
        <v>197</v>
      </c>
      <c r="C31" s="34" t="s">
        <v>198</v>
      </c>
      <c r="D31" s="45" t="s">
        <v>345</v>
      </c>
      <c r="E31" s="36">
        <f t="shared" si="0"/>
        <v>1</v>
      </c>
      <c r="F31" s="37">
        <f t="shared" si="1"/>
        <v>2</v>
      </c>
      <c r="G31" s="37">
        <f t="shared" si="2"/>
        <v>0</v>
      </c>
      <c r="H31" s="38">
        <f t="shared" si="3"/>
        <v>4</v>
      </c>
      <c r="I31" s="39">
        <f t="shared" si="6"/>
        <v>49</v>
      </c>
      <c r="J31" s="40">
        <f t="shared" si="4"/>
        <v>8.9743589743589744E-2</v>
      </c>
      <c r="K31" s="46">
        <v>46031</v>
      </c>
      <c r="L31" s="30" t="s">
        <v>18</v>
      </c>
      <c r="M31" s="42" t="b">
        <v>0</v>
      </c>
      <c r="N31" s="47">
        <v>46066</v>
      </c>
      <c r="O31" s="30" t="s">
        <v>21</v>
      </c>
      <c r="P31" s="42" t="b">
        <v>1</v>
      </c>
      <c r="Q31" s="47">
        <v>46073</v>
      </c>
      <c r="R31" s="30" t="s">
        <v>19</v>
      </c>
      <c r="S31" s="42" t="b">
        <v>0</v>
      </c>
      <c r="T31" s="47">
        <v>46087</v>
      </c>
      <c r="U31" s="30" t="s">
        <v>19</v>
      </c>
      <c r="V31" s="42" t="b">
        <v>0</v>
      </c>
      <c r="W31" s="47">
        <v>46101</v>
      </c>
      <c r="X31" s="30" t="s">
        <v>21</v>
      </c>
      <c r="Y31" s="42" t="b">
        <v>1</v>
      </c>
      <c r="Z31" s="47">
        <v>46108</v>
      </c>
      <c r="AA31" s="30" t="s">
        <v>21</v>
      </c>
      <c r="AB31" s="42" t="b">
        <v>1</v>
      </c>
      <c r="AC31" s="47">
        <v>46129</v>
      </c>
      <c r="AD31" s="30" t="s">
        <v>21</v>
      </c>
      <c r="AE31" s="42" t="b">
        <v>0</v>
      </c>
      <c r="AF31" s="43"/>
      <c r="AG31" s="30"/>
      <c r="AH31" s="42" t="b">
        <v>0</v>
      </c>
      <c r="AI31" s="43"/>
      <c r="AJ31" s="30"/>
      <c r="AK31" s="42" t="b">
        <v>0</v>
      </c>
      <c r="AL31" s="43"/>
      <c r="AM31" s="30"/>
      <c r="AN31" s="48" t="b">
        <v>0</v>
      </c>
    </row>
    <row r="32" spans="1:43" ht="13" x14ac:dyDescent="0.15">
      <c r="A32" s="21" t="s">
        <v>181</v>
      </c>
      <c r="B32" s="34" t="s">
        <v>199</v>
      </c>
      <c r="C32" s="34" t="s">
        <v>200</v>
      </c>
      <c r="D32" s="45" t="s">
        <v>346</v>
      </c>
      <c r="E32" s="36">
        <f t="shared" si="0"/>
        <v>0</v>
      </c>
      <c r="F32" s="37">
        <f t="shared" si="1"/>
        <v>1</v>
      </c>
      <c r="G32" s="37">
        <f t="shared" si="2"/>
        <v>1</v>
      </c>
      <c r="H32" s="38">
        <f t="shared" si="3"/>
        <v>0</v>
      </c>
      <c r="I32" s="39">
        <f t="shared" si="6"/>
        <v>14</v>
      </c>
      <c r="J32" s="40">
        <f t="shared" si="4"/>
        <v>2.564102564102564E-2</v>
      </c>
      <c r="K32" s="41" t="s">
        <v>201</v>
      </c>
      <c r="L32" s="30" t="s">
        <v>19</v>
      </c>
      <c r="M32" s="42" t="b">
        <v>1</v>
      </c>
      <c r="N32" s="47">
        <v>46108</v>
      </c>
      <c r="O32" s="30" t="s">
        <v>20</v>
      </c>
      <c r="P32" s="42" t="b">
        <v>1</v>
      </c>
      <c r="Q32" s="43"/>
      <c r="R32" s="30"/>
      <c r="S32" s="42" t="b">
        <v>0</v>
      </c>
      <c r="T32" s="43"/>
      <c r="U32" s="30"/>
      <c r="V32" s="42" t="b">
        <v>0</v>
      </c>
      <c r="W32" s="43"/>
      <c r="X32" s="30"/>
      <c r="Y32" s="42" t="b">
        <v>0</v>
      </c>
      <c r="Z32" s="43"/>
      <c r="AA32" s="30"/>
      <c r="AB32" s="42" t="b">
        <v>0</v>
      </c>
      <c r="AC32" s="43"/>
      <c r="AD32" s="30"/>
      <c r="AE32" s="42" t="b">
        <v>0</v>
      </c>
      <c r="AF32" s="43"/>
      <c r="AG32" s="30"/>
      <c r="AH32" s="42" t="b">
        <v>0</v>
      </c>
      <c r="AI32" s="43"/>
      <c r="AJ32" s="30"/>
      <c r="AK32" s="42" t="b">
        <v>0</v>
      </c>
      <c r="AL32" s="43"/>
      <c r="AM32" s="30"/>
      <c r="AN32" s="48" t="b">
        <v>0</v>
      </c>
    </row>
    <row r="33" spans="1:40" ht="13" x14ac:dyDescent="0.15">
      <c r="A33" s="21" t="s">
        <v>181</v>
      </c>
      <c r="B33" s="34" t="s">
        <v>202</v>
      </c>
      <c r="C33" s="34" t="s">
        <v>203</v>
      </c>
      <c r="D33" s="45" t="s">
        <v>316</v>
      </c>
      <c r="E33" s="36">
        <f t="shared" si="0"/>
        <v>0</v>
      </c>
      <c r="F33" s="37">
        <f t="shared" si="1"/>
        <v>0</v>
      </c>
      <c r="G33" s="37">
        <f t="shared" si="2"/>
        <v>0</v>
      </c>
      <c r="H33" s="38">
        <f t="shared" si="3"/>
        <v>0</v>
      </c>
      <c r="I33" s="39">
        <f t="shared" si="6"/>
        <v>0</v>
      </c>
      <c r="J33" s="40">
        <f t="shared" si="4"/>
        <v>0</v>
      </c>
      <c r="K33" s="46">
        <v>46129</v>
      </c>
      <c r="L33" s="30" t="s">
        <v>21</v>
      </c>
      <c r="M33" s="42" t="b">
        <v>1</v>
      </c>
      <c r="N33" s="47"/>
      <c r="O33" s="30"/>
      <c r="P33" s="42"/>
      <c r="Q33" s="47"/>
      <c r="R33" s="30"/>
      <c r="S33" s="42"/>
      <c r="T33" s="43"/>
      <c r="U33" s="30"/>
      <c r="V33" s="42" t="b">
        <v>0</v>
      </c>
      <c r="W33" s="43"/>
      <c r="X33" s="30"/>
      <c r="Y33" s="42" t="b">
        <v>0</v>
      </c>
      <c r="Z33" s="43"/>
      <c r="AA33" s="30"/>
      <c r="AB33" s="42" t="b">
        <v>0</v>
      </c>
      <c r="AC33" s="43"/>
      <c r="AD33" s="30"/>
      <c r="AE33" s="42" t="b">
        <v>0</v>
      </c>
      <c r="AF33" s="43"/>
      <c r="AG33" s="30"/>
      <c r="AH33" s="42" t="b">
        <v>0</v>
      </c>
      <c r="AI33" s="43"/>
      <c r="AJ33" s="30"/>
      <c r="AK33" s="42" t="b">
        <v>0</v>
      </c>
      <c r="AL33" s="43"/>
      <c r="AM33" s="30"/>
      <c r="AN33" s="48" t="b">
        <v>0</v>
      </c>
    </row>
    <row r="34" spans="1:40" ht="13" x14ac:dyDescent="0.15">
      <c r="A34" s="21" t="s">
        <v>204</v>
      </c>
      <c r="B34" s="34" t="s">
        <v>205</v>
      </c>
      <c r="C34" s="34" t="s">
        <v>39</v>
      </c>
      <c r="D34" s="45" t="s">
        <v>316</v>
      </c>
      <c r="E34" s="36">
        <f t="shared" si="0"/>
        <v>0</v>
      </c>
      <c r="F34" s="37">
        <f t="shared" si="1"/>
        <v>9</v>
      </c>
      <c r="G34" s="37">
        <f t="shared" si="2"/>
        <v>1</v>
      </c>
      <c r="H34" s="38">
        <f t="shared" si="3"/>
        <v>0</v>
      </c>
      <c r="I34" s="39">
        <f t="shared" si="6"/>
        <v>70</v>
      </c>
      <c r="J34" s="40">
        <f t="shared" si="4"/>
        <v>0.12820512820512819</v>
      </c>
      <c r="K34" s="46">
        <v>46084</v>
      </c>
      <c r="L34" s="30" t="s">
        <v>19</v>
      </c>
      <c r="M34" s="42" t="b">
        <v>0</v>
      </c>
      <c r="N34" s="47">
        <v>46091</v>
      </c>
      <c r="O34" s="30" t="s">
        <v>19</v>
      </c>
      <c r="P34" s="42" t="b">
        <v>0</v>
      </c>
      <c r="Q34" s="47">
        <v>46098</v>
      </c>
      <c r="R34" s="30" t="s">
        <v>19</v>
      </c>
      <c r="S34" s="42" t="b">
        <v>0</v>
      </c>
      <c r="T34" s="47">
        <v>46105</v>
      </c>
      <c r="U34" s="30" t="s">
        <v>20</v>
      </c>
      <c r="V34" s="42" t="b">
        <v>1</v>
      </c>
      <c r="W34" s="47">
        <v>46119</v>
      </c>
      <c r="X34" s="30" t="s">
        <v>19</v>
      </c>
      <c r="Y34" s="42" t="b">
        <v>0</v>
      </c>
      <c r="Z34" s="47">
        <v>46126</v>
      </c>
      <c r="AA34" s="30" t="s">
        <v>19</v>
      </c>
      <c r="AB34" s="42" t="b">
        <v>0</v>
      </c>
      <c r="AC34" s="47">
        <v>46112</v>
      </c>
      <c r="AD34" s="30" t="s">
        <v>19</v>
      </c>
      <c r="AE34" s="42" t="b">
        <v>0</v>
      </c>
      <c r="AF34" s="47">
        <v>46133</v>
      </c>
      <c r="AG34" s="30" t="s">
        <v>19</v>
      </c>
      <c r="AH34" s="42" t="b">
        <v>0</v>
      </c>
      <c r="AI34" s="47">
        <v>46147</v>
      </c>
      <c r="AJ34" s="30" t="s">
        <v>19</v>
      </c>
      <c r="AK34" s="42" t="b">
        <v>0</v>
      </c>
      <c r="AL34" s="47">
        <v>46154</v>
      </c>
      <c r="AM34" s="30" t="s">
        <v>19</v>
      </c>
      <c r="AN34" s="48" t="b">
        <v>0</v>
      </c>
    </row>
    <row r="35" spans="1:40" ht="13" x14ac:dyDescent="0.15">
      <c r="A35" s="21" t="s">
        <v>204</v>
      </c>
      <c r="B35" s="34" t="s">
        <v>206</v>
      </c>
      <c r="C35" s="34" t="s">
        <v>207</v>
      </c>
      <c r="D35" s="45" t="s">
        <v>316</v>
      </c>
      <c r="E35" s="36">
        <f t="shared" si="0"/>
        <v>0</v>
      </c>
      <c r="F35" s="37">
        <f t="shared" si="1"/>
        <v>6</v>
      </c>
      <c r="G35" s="37">
        <f t="shared" si="2"/>
        <v>0</v>
      </c>
      <c r="H35" s="38">
        <f t="shared" si="3"/>
        <v>0</v>
      </c>
      <c r="I35" s="39">
        <f t="shared" si="6"/>
        <v>42</v>
      </c>
      <c r="J35" s="40">
        <f t="shared" si="4"/>
        <v>7.6923076923076927E-2</v>
      </c>
      <c r="K35" s="46">
        <v>46084</v>
      </c>
      <c r="L35" s="30" t="s">
        <v>19</v>
      </c>
      <c r="M35" s="42" t="b">
        <v>0</v>
      </c>
      <c r="N35" s="47">
        <v>46091</v>
      </c>
      <c r="O35" s="30" t="s">
        <v>19</v>
      </c>
      <c r="P35" s="42" t="b">
        <v>0</v>
      </c>
      <c r="Q35" s="47">
        <v>46098</v>
      </c>
      <c r="R35" s="30" t="s">
        <v>19</v>
      </c>
      <c r="S35" s="42" t="b">
        <v>0</v>
      </c>
      <c r="T35" s="47">
        <v>46105</v>
      </c>
      <c r="U35" s="30" t="s">
        <v>19</v>
      </c>
      <c r="V35" s="42" t="b">
        <v>0</v>
      </c>
      <c r="W35" s="47">
        <v>46112</v>
      </c>
      <c r="X35" s="30" t="s">
        <v>19</v>
      </c>
      <c r="Y35" s="42" t="b">
        <v>0</v>
      </c>
      <c r="Z35" s="47">
        <v>46133</v>
      </c>
      <c r="AA35" s="30" t="s">
        <v>19</v>
      </c>
      <c r="AB35" s="42" t="b">
        <v>0</v>
      </c>
      <c r="AC35" s="43"/>
      <c r="AD35" s="30"/>
      <c r="AE35" s="42" t="b">
        <v>0</v>
      </c>
      <c r="AF35" s="43"/>
      <c r="AG35" s="30"/>
      <c r="AH35" s="42" t="b">
        <v>0</v>
      </c>
      <c r="AI35" s="43"/>
      <c r="AJ35" s="30"/>
      <c r="AK35" s="42" t="b">
        <v>0</v>
      </c>
      <c r="AL35" s="43"/>
      <c r="AM35" s="30"/>
      <c r="AN35" s="48" t="b">
        <v>0</v>
      </c>
    </row>
    <row r="36" spans="1:40" ht="13" x14ac:dyDescent="0.15">
      <c r="A36" s="21" t="s">
        <v>204</v>
      </c>
      <c r="B36" s="34" t="s">
        <v>208</v>
      </c>
      <c r="C36" s="34" t="s">
        <v>209</v>
      </c>
      <c r="D36" s="45" t="s">
        <v>316</v>
      </c>
      <c r="E36" s="36">
        <f t="shared" si="0"/>
        <v>0</v>
      </c>
      <c r="F36" s="37">
        <f t="shared" si="1"/>
        <v>8</v>
      </c>
      <c r="G36" s="37">
        <f t="shared" si="2"/>
        <v>0</v>
      </c>
      <c r="H36" s="38">
        <f t="shared" si="3"/>
        <v>0</v>
      </c>
      <c r="I36" s="39">
        <f t="shared" si="6"/>
        <v>56</v>
      </c>
      <c r="J36" s="40">
        <f t="shared" si="4"/>
        <v>0.10256410256410256</v>
      </c>
      <c r="K36" s="46">
        <v>46084</v>
      </c>
      <c r="L36" s="30" t="s">
        <v>19</v>
      </c>
      <c r="M36" s="42" t="b">
        <v>0</v>
      </c>
      <c r="N36" s="47">
        <v>46105</v>
      </c>
      <c r="O36" s="30" t="s">
        <v>19</v>
      </c>
      <c r="P36" s="42" t="b">
        <v>1</v>
      </c>
      <c r="Q36" s="47">
        <v>46119</v>
      </c>
      <c r="R36" s="30" t="s">
        <v>19</v>
      </c>
      <c r="S36" s="42" t="b">
        <v>0</v>
      </c>
      <c r="T36" s="47">
        <v>46126</v>
      </c>
      <c r="U36" s="30" t="s">
        <v>19</v>
      </c>
      <c r="V36" s="42" t="b">
        <v>0</v>
      </c>
      <c r="W36" s="47">
        <v>46091</v>
      </c>
      <c r="X36" s="30" t="s">
        <v>19</v>
      </c>
      <c r="Y36" s="42" t="b">
        <v>0</v>
      </c>
      <c r="Z36" s="47">
        <v>46112</v>
      </c>
      <c r="AA36" s="30" t="s">
        <v>19</v>
      </c>
      <c r="AB36" s="42" t="b">
        <v>0</v>
      </c>
      <c r="AC36" s="47">
        <v>46133</v>
      </c>
      <c r="AD36" s="30" t="s">
        <v>19</v>
      </c>
      <c r="AE36" s="42" t="b">
        <v>0</v>
      </c>
      <c r="AF36" s="47">
        <v>46154</v>
      </c>
      <c r="AG36" s="30" t="s">
        <v>19</v>
      </c>
      <c r="AH36" s="42" t="b">
        <v>0</v>
      </c>
      <c r="AI36" s="43"/>
      <c r="AJ36" s="30"/>
      <c r="AK36" s="42" t="b">
        <v>0</v>
      </c>
      <c r="AL36" s="43"/>
      <c r="AM36" s="30"/>
      <c r="AN36" s="48" t="b">
        <v>0</v>
      </c>
    </row>
    <row r="37" spans="1:40" ht="13" x14ac:dyDescent="0.15">
      <c r="A37" s="21" t="s">
        <v>204</v>
      </c>
      <c r="B37" s="34" t="s">
        <v>210</v>
      </c>
      <c r="C37" s="34" t="s">
        <v>211</v>
      </c>
      <c r="D37" s="45" t="s">
        <v>316</v>
      </c>
      <c r="E37" s="36">
        <f t="shared" si="0"/>
        <v>0</v>
      </c>
      <c r="F37" s="37">
        <f t="shared" si="1"/>
        <v>0</v>
      </c>
      <c r="G37" s="37">
        <f t="shared" si="2"/>
        <v>0</v>
      </c>
      <c r="H37" s="38">
        <f t="shared" si="3"/>
        <v>0</v>
      </c>
      <c r="I37" s="39">
        <f t="shared" si="6"/>
        <v>0</v>
      </c>
      <c r="J37" s="40">
        <f t="shared" si="4"/>
        <v>0</v>
      </c>
      <c r="K37" s="41"/>
      <c r="L37" s="30"/>
      <c r="M37" s="42" t="b">
        <v>0</v>
      </c>
      <c r="N37" s="43"/>
      <c r="O37" s="30"/>
      <c r="P37" s="42" t="b">
        <v>0</v>
      </c>
      <c r="Q37" s="43"/>
      <c r="R37" s="30"/>
      <c r="S37" s="42" t="b">
        <v>0</v>
      </c>
      <c r="T37" s="43"/>
      <c r="U37" s="30"/>
      <c r="V37" s="42" t="b">
        <v>0</v>
      </c>
      <c r="W37" s="43"/>
      <c r="X37" s="30"/>
      <c r="Y37" s="42" t="b">
        <v>0</v>
      </c>
      <c r="Z37" s="43"/>
      <c r="AA37" s="30"/>
      <c r="AB37" s="42" t="b">
        <v>0</v>
      </c>
      <c r="AC37" s="43"/>
      <c r="AD37" s="30"/>
      <c r="AE37" s="42" t="b">
        <v>0</v>
      </c>
      <c r="AF37" s="43"/>
      <c r="AG37" s="30"/>
      <c r="AH37" s="42" t="b">
        <v>0</v>
      </c>
      <c r="AI37" s="43"/>
      <c r="AJ37" s="30"/>
      <c r="AK37" s="42" t="b">
        <v>0</v>
      </c>
      <c r="AL37" s="43"/>
      <c r="AM37" s="30"/>
      <c r="AN37" s="48" t="b">
        <v>0</v>
      </c>
    </row>
    <row r="38" spans="1:40" ht="13" x14ac:dyDescent="0.15">
      <c r="A38" s="21" t="s">
        <v>204</v>
      </c>
      <c r="B38" s="34" t="s">
        <v>212</v>
      </c>
      <c r="C38" s="34" t="s">
        <v>213</v>
      </c>
      <c r="D38" s="45" t="s">
        <v>316</v>
      </c>
      <c r="E38" s="36">
        <f t="shared" si="0"/>
        <v>0</v>
      </c>
      <c r="F38" s="37">
        <f t="shared" si="1"/>
        <v>2</v>
      </c>
      <c r="G38" s="37">
        <f t="shared" si="2"/>
        <v>0</v>
      </c>
      <c r="H38" s="38">
        <f t="shared" si="3"/>
        <v>0</v>
      </c>
      <c r="I38" s="39">
        <f t="shared" si="6"/>
        <v>14</v>
      </c>
      <c r="J38" s="40">
        <f t="shared" si="4"/>
        <v>2.564102564102564E-2</v>
      </c>
      <c r="K38" s="46">
        <v>46098</v>
      </c>
      <c r="L38" s="30" t="s">
        <v>19</v>
      </c>
      <c r="M38" s="42" t="b">
        <v>1</v>
      </c>
      <c r="N38" s="47">
        <v>46105</v>
      </c>
      <c r="O38" s="30" t="s">
        <v>34</v>
      </c>
      <c r="P38" s="42" t="b">
        <v>1</v>
      </c>
      <c r="Q38" s="47">
        <v>46147</v>
      </c>
      <c r="R38" s="30" t="s">
        <v>19</v>
      </c>
      <c r="S38" s="42" t="b">
        <v>0</v>
      </c>
      <c r="T38" s="43"/>
      <c r="U38" s="30"/>
      <c r="V38" s="42" t="b">
        <v>0</v>
      </c>
      <c r="W38" s="43"/>
      <c r="X38" s="30"/>
      <c r="Y38" s="42" t="b">
        <v>0</v>
      </c>
      <c r="Z38" s="43"/>
      <c r="AA38" s="30"/>
      <c r="AB38" s="42" t="b">
        <v>0</v>
      </c>
      <c r="AC38" s="43"/>
      <c r="AD38" s="30"/>
      <c r="AE38" s="42" t="b">
        <v>0</v>
      </c>
      <c r="AF38" s="43"/>
      <c r="AG38" s="30"/>
      <c r="AH38" s="42" t="b">
        <v>0</v>
      </c>
      <c r="AI38" s="43"/>
      <c r="AJ38" s="30"/>
      <c r="AK38" s="42" t="b">
        <v>0</v>
      </c>
      <c r="AL38" s="43"/>
      <c r="AM38" s="30"/>
      <c r="AN38" s="48" t="b">
        <v>0</v>
      </c>
    </row>
    <row r="39" spans="1:40" ht="13" x14ac:dyDescent="0.15">
      <c r="A39" s="21" t="s">
        <v>204</v>
      </c>
      <c r="B39" s="34" t="s">
        <v>214</v>
      </c>
      <c r="C39" s="34" t="s">
        <v>215</v>
      </c>
      <c r="D39" s="45" t="s">
        <v>316</v>
      </c>
      <c r="E39" s="36">
        <f t="shared" si="0"/>
        <v>0</v>
      </c>
      <c r="F39" s="37">
        <f t="shared" si="1"/>
        <v>1</v>
      </c>
      <c r="G39" s="37">
        <f t="shared" si="2"/>
        <v>1</v>
      </c>
      <c r="H39" s="38">
        <f t="shared" si="3"/>
        <v>0</v>
      </c>
      <c r="I39" s="39">
        <f t="shared" si="6"/>
        <v>14</v>
      </c>
      <c r="J39" s="40">
        <f t="shared" si="4"/>
        <v>2.564102564102564E-2</v>
      </c>
      <c r="K39" s="46">
        <v>46091</v>
      </c>
      <c r="L39" s="30" t="s">
        <v>20</v>
      </c>
      <c r="M39" s="42" t="b">
        <v>1</v>
      </c>
      <c r="N39" s="47">
        <v>46119</v>
      </c>
      <c r="O39" s="30" t="s">
        <v>19</v>
      </c>
      <c r="P39" s="42" t="b">
        <v>0</v>
      </c>
      <c r="Q39" s="43"/>
      <c r="R39" s="30"/>
      <c r="S39" s="42" t="b">
        <v>0</v>
      </c>
      <c r="T39" s="43"/>
      <c r="U39" s="30"/>
      <c r="V39" s="42" t="b">
        <v>0</v>
      </c>
      <c r="W39" s="43"/>
      <c r="X39" s="30"/>
      <c r="Y39" s="42" t="b">
        <v>0</v>
      </c>
      <c r="Z39" s="43"/>
      <c r="AA39" s="30"/>
      <c r="AB39" s="42" t="b">
        <v>0</v>
      </c>
      <c r="AC39" s="43"/>
      <c r="AD39" s="30"/>
      <c r="AE39" s="42" t="b">
        <v>0</v>
      </c>
      <c r="AF39" s="43"/>
      <c r="AG39" s="30"/>
      <c r="AH39" s="42" t="b">
        <v>0</v>
      </c>
      <c r="AI39" s="43"/>
      <c r="AJ39" s="30"/>
      <c r="AK39" s="42" t="b">
        <v>0</v>
      </c>
      <c r="AL39" s="43"/>
      <c r="AM39" s="30"/>
      <c r="AN39" s="48" t="b">
        <v>0</v>
      </c>
    </row>
    <row r="40" spans="1:40" ht="13" x14ac:dyDescent="0.15">
      <c r="A40" s="21" t="s">
        <v>204</v>
      </c>
      <c r="B40" s="34" t="s">
        <v>216</v>
      </c>
      <c r="C40" s="34" t="s">
        <v>217</v>
      </c>
      <c r="D40" s="45" t="s">
        <v>316</v>
      </c>
      <c r="E40" s="36">
        <f t="shared" si="0"/>
        <v>1</v>
      </c>
      <c r="F40" s="37">
        <f t="shared" si="1"/>
        <v>5</v>
      </c>
      <c r="G40" s="37">
        <f t="shared" si="2"/>
        <v>1</v>
      </c>
      <c r="H40" s="38">
        <f t="shared" si="3"/>
        <v>0</v>
      </c>
      <c r="I40" s="39">
        <f t="shared" si="6"/>
        <v>49</v>
      </c>
      <c r="J40" s="40">
        <f t="shared" si="4"/>
        <v>8.9743589743589744E-2</v>
      </c>
      <c r="K40" s="46">
        <v>46091</v>
      </c>
      <c r="L40" s="30" t="s">
        <v>20</v>
      </c>
      <c r="M40" s="42" t="b">
        <v>1</v>
      </c>
      <c r="N40" s="47">
        <v>46098</v>
      </c>
      <c r="O40" s="30" t="s">
        <v>18</v>
      </c>
      <c r="P40" s="42" t="b">
        <v>1</v>
      </c>
      <c r="Q40" s="47">
        <v>46119</v>
      </c>
      <c r="R40" s="30" t="s">
        <v>19</v>
      </c>
      <c r="S40" s="42" t="b">
        <v>0</v>
      </c>
      <c r="T40" s="47">
        <v>46126</v>
      </c>
      <c r="U40" s="30" t="s">
        <v>19</v>
      </c>
      <c r="V40" s="42" t="b">
        <v>1</v>
      </c>
      <c r="W40" s="47">
        <v>46133</v>
      </c>
      <c r="X40" s="30" t="s">
        <v>19</v>
      </c>
      <c r="Y40" s="42" t="b">
        <v>0</v>
      </c>
      <c r="Z40" s="47">
        <v>46140</v>
      </c>
      <c r="AA40" s="30" t="s">
        <v>19</v>
      </c>
      <c r="AB40" s="42" t="b">
        <v>0</v>
      </c>
      <c r="AC40" s="47">
        <v>46154</v>
      </c>
      <c r="AD40" s="30" t="s">
        <v>19</v>
      </c>
      <c r="AE40" s="42" t="b">
        <v>0</v>
      </c>
      <c r="AF40" s="43"/>
      <c r="AG40" s="30"/>
      <c r="AH40" s="42" t="b">
        <v>0</v>
      </c>
      <c r="AI40" s="43"/>
      <c r="AJ40" s="30"/>
      <c r="AK40" s="42" t="b">
        <v>0</v>
      </c>
      <c r="AL40" s="43"/>
      <c r="AM40" s="30"/>
      <c r="AN40" s="48" t="b">
        <v>0</v>
      </c>
    </row>
    <row r="41" spans="1:40" ht="13" x14ac:dyDescent="0.15">
      <c r="A41" s="21" t="s">
        <v>204</v>
      </c>
      <c r="B41" s="34" t="s">
        <v>218</v>
      </c>
      <c r="C41" s="34" t="s">
        <v>219</v>
      </c>
      <c r="D41" s="45" t="s">
        <v>316</v>
      </c>
      <c r="E41" s="36">
        <f t="shared" si="0"/>
        <v>0</v>
      </c>
      <c r="F41" s="37">
        <f t="shared" si="1"/>
        <v>8</v>
      </c>
      <c r="G41" s="37">
        <f t="shared" si="2"/>
        <v>0</v>
      </c>
      <c r="H41" s="38">
        <f t="shared" si="3"/>
        <v>0</v>
      </c>
      <c r="I41" s="39">
        <f t="shared" si="6"/>
        <v>56</v>
      </c>
      <c r="J41" s="40">
        <f t="shared" si="4"/>
        <v>0.10256410256410256</v>
      </c>
      <c r="K41" s="46">
        <v>46084</v>
      </c>
      <c r="L41" s="30" t="s">
        <v>21</v>
      </c>
      <c r="M41" s="42" t="b">
        <v>1</v>
      </c>
      <c r="N41" s="47">
        <v>46098</v>
      </c>
      <c r="O41" s="30" t="s">
        <v>19</v>
      </c>
      <c r="P41" s="42" t="b">
        <v>0</v>
      </c>
      <c r="Q41" s="47">
        <v>46091</v>
      </c>
      <c r="R41" s="30" t="s">
        <v>19</v>
      </c>
      <c r="S41" s="42" t="b">
        <v>0</v>
      </c>
      <c r="T41" s="47">
        <v>46105</v>
      </c>
      <c r="U41" s="30" t="s">
        <v>19</v>
      </c>
      <c r="V41" s="42" t="b">
        <v>1</v>
      </c>
      <c r="W41" s="47">
        <v>46119</v>
      </c>
      <c r="X41" s="30" t="s">
        <v>19</v>
      </c>
      <c r="Y41" s="42" t="b">
        <v>0</v>
      </c>
      <c r="Z41" s="47">
        <v>46126</v>
      </c>
      <c r="AA41" s="30" t="s">
        <v>19</v>
      </c>
      <c r="AB41" s="42" t="b">
        <v>0</v>
      </c>
      <c r="AC41" s="47">
        <v>46133</v>
      </c>
      <c r="AD41" s="30" t="s">
        <v>19</v>
      </c>
      <c r="AE41" s="42" t="b">
        <v>0</v>
      </c>
      <c r="AF41" s="47">
        <v>46147</v>
      </c>
      <c r="AG41" s="30" t="s">
        <v>19</v>
      </c>
      <c r="AH41" s="42" t="b">
        <v>0</v>
      </c>
      <c r="AI41" s="47">
        <v>46154</v>
      </c>
      <c r="AJ41" s="30" t="s">
        <v>19</v>
      </c>
      <c r="AK41" s="42" t="b">
        <v>0</v>
      </c>
      <c r="AL41" s="43"/>
      <c r="AM41" s="30"/>
      <c r="AN41" s="48" t="b">
        <v>0</v>
      </c>
    </row>
    <row r="42" spans="1:40" ht="13" x14ac:dyDescent="0.15">
      <c r="A42" s="21" t="s">
        <v>204</v>
      </c>
      <c r="B42" s="34" t="s">
        <v>220</v>
      </c>
      <c r="C42" s="34" t="s">
        <v>221</v>
      </c>
      <c r="D42" s="45" t="s">
        <v>316</v>
      </c>
      <c r="E42" s="36">
        <f t="shared" si="0"/>
        <v>0</v>
      </c>
      <c r="F42" s="37">
        <f t="shared" si="1"/>
        <v>1</v>
      </c>
      <c r="G42" s="37">
        <f t="shared" si="2"/>
        <v>0</v>
      </c>
      <c r="H42" s="38">
        <f t="shared" si="3"/>
        <v>1</v>
      </c>
      <c r="I42" s="39">
        <f t="shared" si="6"/>
        <v>14</v>
      </c>
      <c r="J42" s="40">
        <f t="shared" si="4"/>
        <v>2.564102564102564E-2</v>
      </c>
      <c r="K42" s="46">
        <v>46091</v>
      </c>
      <c r="L42" s="30" t="s">
        <v>21</v>
      </c>
      <c r="M42" s="42" t="b">
        <v>1</v>
      </c>
      <c r="N42" s="47">
        <v>46105</v>
      </c>
      <c r="O42" s="30" t="s">
        <v>21</v>
      </c>
      <c r="P42" s="42" t="b">
        <v>1</v>
      </c>
      <c r="Q42" s="47">
        <v>46147</v>
      </c>
      <c r="R42" s="30" t="s">
        <v>19</v>
      </c>
      <c r="S42" s="42" t="b">
        <v>0</v>
      </c>
      <c r="T42" s="43"/>
      <c r="U42" s="30"/>
      <c r="V42" s="42" t="b">
        <v>0</v>
      </c>
      <c r="W42" s="43"/>
      <c r="X42" s="30"/>
      <c r="Y42" s="42" t="b">
        <v>0</v>
      </c>
      <c r="Z42" s="43"/>
      <c r="AA42" s="30"/>
      <c r="AB42" s="42" t="b">
        <v>0</v>
      </c>
      <c r="AC42" s="43"/>
      <c r="AD42" s="30"/>
      <c r="AE42" s="42" t="b">
        <v>0</v>
      </c>
      <c r="AF42" s="43"/>
      <c r="AG42" s="30"/>
      <c r="AH42" s="42" t="b">
        <v>0</v>
      </c>
      <c r="AI42" s="43"/>
      <c r="AJ42" s="30"/>
      <c r="AK42" s="42" t="b">
        <v>0</v>
      </c>
      <c r="AL42" s="43"/>
      <c r="AM42" s="30"/>
      <c r="AN42" s="48" t="b">
        <v>0</v>
      </c>
    </row>
    <row r="43" spans="1:40" ht="13" x14ac:dyDescent="0.15">
      <c r="A43" s="21" t="s">
        <v>204</v>
      </c>
      <c r="B43" s="34" t="s">
        <v>222</v>
      </c>
      <c r="C43" s="34" t="s">
        <v>223</v>
      </c>
      <c r="D43" s="45" t="s">
        <v>316</v>
      </c>
      <c r="E43" s="36">
        <f t="shared" si="0"/>
        <v>0</v>
      </c>
      <c r="F43" s="37">
        <f t="shared" si="1"/>
        <v>6</v>
      </c>
      <c r="G43" s="37">
        <f t="shared" si="2"/>
        <v>1</v>
      </c>
      <c r="H43" s="38">
        <f t="shared" si="3"/>
        <v>0</v>
      </c>
      <c r="I43" s="39">
        <f t="shared" si="6"/>
        <v>49</v>
      </c>
      <c r="J43" s="40">
        <f t="shared" si="4"/>
        <v>8.9743589743589744E-2</v>
      </c>
      <c r="K43" s="46">
        <v>46091</v>
      </c>
      <c r="L43" s="30" t="s">
        <v>20</v>
      </c>
      <c r="M43" s="42" t="b">
        <v>1</v>
      </c>
      <c r="N43" s="47">
        <v>46119</v>
      </c>
      <c r="O43" s="30" t="s">
        <v>19</v>
      </c>
      <c r="P43" s="42" t="b">
        <v>0</v>
      </c>
      <c r="Q43" s="47">
        <v>46126</v>
      </c>
      <c r="R43" s="30" t="s">
        <v>19</v>
      </c>
      <c r="S43" s="42" t="b">
        <v>1</v>
      </c>
      <c r="T43" s="47">
        <v>46112</v>
      </c>
      <c r="U43" s="30" t="s">
        <v>19</v>
      </c>
      <c r="V43" s="42" t="b">
        <v>0</v>
      </c>
      <c r="W43" s="47">
        <v>46133</v>
      </c>
      <c r="X43" s="30" t="s">
        <v>19</v>
      </c>
      <c r="Y43" s="42" t="b">
        <v>0</v>
      </c>
      <c r="Z43" s="47">
        <v>46147</v>
      </c>
      <c r="AA43" s="30" t="s">
        <v>19</v>
      </c>
      <c r="AB43" s="42" t="b">
        <v>0</v>
      </c>
      <c r="AC43" s="47">
        <v>46154</v>
      </c>
      <c r="AD43" s="30" t="s">
        <v>19</v>
      </c>
      <c r="AE43" s="42" t="b">
        <v>0</v>
      </c>
      <c r="AF43" s="43"/>
      <c r="AG43" s="30"/>
      <c r="AH43" s="42" t="b">
        <v>0</v>
      </c>
      <c r="AI43" s="43"/>
      <c r="AJ43" s="30"/>
      <c r="AK43" s="42" t="b">
        <v>0</v>
      </c>
      <c r="AL43" s="43"/>
      <c r="AM43" s="30"/>
      <c r="AN43" s="48" t="b">
        <v>0</v>
      </c>
    </row>
    <row r="44" spans="1:40" ht="13" x14ac:dyDescent="0.15">
      <c r="A44" s="21" t="s">
        <v>204</v>
      </c>
      <c r="B44" s="34" t="s">
        <v>224</v>
      </c>
      <c r="C44" s="34" t="s">
        <v>225</v>
      </c>
      <c r="D44" s="45" t="s">
        <v>316</v>
      </c>
      <c r="E44" s="36">
        <f t="shared" si="0"/>
        <v>0</v>
      </c>
      <c r="F44" s="37">
        <f t="shared" si="1"/>
        <v>2</v>
      </c>
      <c r="G44" s="37">
        <f t="shared" si="2"/>
        <v>0</v>
      </c>
      <c r="H44" s="38">
        <f t="shared" si="3"/>
        <v>0</v>
      </c>
      <c r="I44" s="39">
        <f t="shared" si="6"/>
        <v>14</v>
      </c>
      <c r="J44" s="40">
        <f t="shared" si="4"/>
        <v>2.564102564102564E-2</v>
      </c>
      <c r="K44" s="47">
        <v>46147</v>
      </c>
      <c r="L44" s="30" t="s">
        <v>19</v>
      </c>
      <c r="M44" s="42" t="b">
        <v>0</v>
      </c>
      <c r="N44" s="47">
        <v>46154</v>
      </c>
      <c r="O44" s="30" t="s">
        <v>19</v>
      </c>
      <c r="P44" s="42" t="b">
        <v>0</v>
      </c>
      <c r="Q44" s="43"/>
      <c r="R44" s="30"/>
      <c r="S44" s="42" t="b">
        <v>0</v>
      </c>
      <c r="T44" s="43"/>
      <c r="U44" s="30"/>
      <c r="V44" s="42" t="b">
        <v>0</v>
      </c>
      <c r="W44" s="43"/>
      <c r="X44" s="30"/>
      <c r="Y44" s="42" t="b">
        <v>0</v>
      </c>
      <c r="Z44" s="43"/>
      <c r="AA44" s="30"/>
      <c r="AB44" s="42" t="b">
        <v>0</v>
      </c>
      <c r="AC44" s="43"/>
      <c r="AD44" s="30"/>
      <c r="AE44" s="42" t="b">
        <v>0</v>
      </c>
      <c r="AF44" s="43"/>
      <c r="AG44" s="30"/>
      <c r="AH44" s="42" t="b">
        <v>0</v>
      </c>
      <c r="AI44" s="43"/>
      <c r="AJ44" s="30"/>
      <c r="AK44" s="42" t="b">
        <v>0</v>
      </c>
      <c r="AL44" s="43"/>
      <c r="AM44" s="30"/>
      <c r="AN44" s="48" t="b">
        <v>0</v>
      </c>
    </row>
    <row r="45" spans="1:40" ht="13" x14ac:dyDescent="0.15">
      <c r="A45" s="21" t="s">
        <v>204</v>
      </c>
      <c r="B45" s="34" t="s">
        <v>226</v>
      </c>
      <c r="C45" s="34" t="s">
        <v>227</v>
      </c>
      <c r="D45" s="45" t="s">
        <v>316</v>
      </c>
      <c r="E45" s="36">
        <f t="shared" si="0"/>
        <v>0</v>
      </c>
      <c r="F45" s="37">
        <f t="shared" si="1"/>
        <v>2</v>
      </c>
      <c r="G45" s="37">
        <f t="shared" si="2"/>
        <v>0</v>
      </c>
      <c r="H45" s="38">
        <f t="shared" si="3"/>
        <v>1</v>
      </c>
      <c r="I45" s="39">
        <f t="shared" si="6"/>
        <v>21</v>
      </c>
      <c r="J45" s="40">
        <f t="shared" si="4"/>
        <v>3.8461538461538464E-2</v>
      </c>
      <c r="K45" s="46">
        <v>46084</v>
      </c>
      <c r="L45" s="30" t="s">
        <v>19</v>
      </c>
      <c r="M45" s="42" t="b">
        <v>0</v>
      </c>
      <c r="N45" s="47">
        <v>46098</v>
      </c>
      <c r="O45" s="30" t="s">
        <v>21</v>
      </c>
      <c r="P45" s="42" t="b">
        <v>1</v>
      </c>
      <c r="Q45" s="47">
        <v>46091</v>
      </c>
      <c r="R45" s="30" t="s">
        <v>19</v>
      </c>
      <c r="S45" s="42" t="b">
        <v>0</v>
      </c>
      <c r="T45" s="43"/>
      <c r="U45" s="30"/>
      <c r="V45" s="42" t="b">
        <v>0</v>
      </c>
      <c r="W45" s="43"/>
      <c r="X45" s="30"/>
      <c r="Y45" s="42" t="b">
        <v>0</v>
      </c>
      <c r="Z45" s="43"/>
      <c r="AA45" s="30"/>
      <c r="AB45" s="42" t="b">
        <v>0</v>
      </c>
      <c r="AC45" s="43"/>
      <c r="AD45" s="30"/>
      <c r="AE45" s="42" t="b">
        <v>0</v>
      </c>
      <c r="AF45" s="43"/>
      <c r="AG45" s="30"/>
      <c r="AH45" s="42" t="b">
        <v>0</v>
      </c>
      <c r="AI45" s="43"/>
      <c r="AJ45" s="30"/>
      <c r="AK45" s="42" t="b">
        <v>0</v>
      </c>
      <c r="AL45" s="43"/>
      <c r="AM45" s="30"/>
      <c r="AN45" s="48" t="b">
        <v>0</v>
      </c>
    </row>
    <row r="46" spans="1:40" ht="13" x14ac:dyDescent="0.15">
      <c r="A46" s="21" t="s">
        <v>204</v>
      </c>
      <c r="B46" s="34" t="s">
        <v>210</v>
      </c>
      <c r="C46" s="34" t="s">
        <v>228</v>
      </c>
      <c r="D46" s="45" t="s">
        <v>316</v>
      </c>
      <c r="E46" s="36">
        <f t="shared" si="0"/>
        <v>0</v>
      </c>
      <c r="F46" s="37">
        <f t="shared" si="1"/>
        <v>3</v>
      </c>
      <c r="G46" s="37">
        <f t="shared" si="2"/>
        <v>0</v>
      </c>
      <c r="H46" s="38">
        <f t="shared" si="3"/>
        <v>0</v>
      </c>
      <c r="I46" s="39">
        <f t="shared" si="6"/>
        <v>21</v>
      </c>
      <c r="J46" s="40">
        <f t="shared" si="4"/>
        <v>3.8461538461538464E-2</v>
      </c>
      <c r="K46" s="46">
        <v>46084</v>
      </c>
      <c r="L46" s="30" t="s">
        <v>21</v>
      </c>
      <c r="M46" s="42" t="b">
        <v>1</v>
      </c>
      <c r="N46" s="47">
        <v>46098</v>
      </c>
      <c r="O46" s="30" t="s">
        <v>19</v>
      </c>
      <c r="P46" s="42" t="b">
        <v>1</v>
      </c>
      <c r="Q46" s="47">
        <v>46091</v>
      </c>
      <c r="R46" s="30" t="s">
        <v>19</v>
      </c>
      <c r="S46" s="42" t="b">
        <v>0</v>
      </c>
      <c r="T46" s="47">
        <v>46105</v>
      </c>
      <c r="U46" s="30" t="s">
        <v>19</v>
      </c>
      <c r="V46" s="42" t="b">
        <v>1</v>
      </c>
      <c r="W46" s="43"/>
      <c r="X46" s="30"/>
      <c r="Y46" s="42" t="b">
        <v>0</v>
      </c>
      <c r="Z46" s="43"/>
      <c r="AA46" s="30"/>
      <c r="AB46" s="42" t="b">
        <v>0</v>
      </c>
      <c r="AC46" s="43"/>
      <c r="AD46" s="30"/>
      <c r="AE46" s="42" t="b">
        <v>0</v>
      </c>
      <c r="AF46" s="43"/>
      <c r="AG46" s="30"/>
      <c r="AH46" s="42" t="b">
        <v>0</v>
      </c>
      <c r="AI46" s="43"/>
      <c r="AJ46" s="30"/>
      <c r="AK46" s="42" t="b">
        <v>0</v>
      </c>
      <c r="AL46" s="43"/>
      <c r="AM46" s="30"/>
      <c r="AN46" s="48" t="b">
        <v>0</v>
      </c>
    </row>
    <row r="47" spans="1:40" ht="13" x14ac:dyDescent="0.15">
      <c r="A47" s="21" t="s">
        <v>204</v>
      </c>
      <c r="B47" s="34" t="s">
        <v>229</v>
      </c>
      <c r="C47" s="34" t="s">
        <v>230</v>
      </c>
      <c r="D47" s="45" t="s">
        <v>316</v>
      </c>
      <c r="E47" s="36">
        <f t="shared" si="0"/>
        <v>0</v>
      </c>
      <c r="F47" s="37">
        <f t="shared" si="1"/>
        <v>0</v>
      </c>
      <c r="G47" s="37">
        <f t="shared" si="2"/>
        <v>0</v>
      </c>
      <c r="H47" s="38">
        <f t="shared" si="3"/>
        <v>0</v>
      </c>
      <c r="I47" s="39">
        <f t="shared" si="6"/>
        <v>0</v>
      </c>
      <c r="J47" s="40">
        <f t="shared" si="4"/>
        <v>0</v>
      </c>
      <c r="K47" s="41"/>
      <c r="L47" s="30"/>
      <c r="M47" s="42" t="b">
        <v>0</v>
      </c>
      <c r="N47" s="43"/>
      <c r="O47" s="30"/>
      <c r="P47" s="42" t="b">
        <v>0</v>
      </c>
      <c r="Q47" s="43"/>
      <c r="R47" s="30"/>
      <c r="S47" s="42" t="b">
        <v>0</v>
      </c>
      <c r="T47" s="43"/>
      <c r="U47" s="30"/>
      <c r="V47" s="42" t="b">
        <v>0</v>
      </c>
      <c r="W47" s="43"/>
      <c r="X47" s="30"/>
      <c r="Y47" s="42" t="b">
        <v>0</v>
      </c>
      <c r="Z47" s="43"/>
      <c r="AA47" s="30"/>
      <c r="AB47" s="42" t="b">
        <v>0</v>
      </c>
      <c r="AC47" s="43"/>
      <c r="AD47" s="30"/>
      <c r="AE47" s="42" t="b">
        <v>0</v>
      </c>
      <c r="AF47" s="43"/>
      <c r="AG47" s="30"/>
      <c r="AH47" s="42" t="b">
        <v>0</v>
      </c>
      <c r="AI47" s="43"/>
      <c r="AJ47" s="30"/>
      <c r="AK47" s="42" t="b">
        <v>0</v>
      </c>
      <c r="AL47" s="43"/>
      <c r="AM47" s="30"/>
      <c r="AN47" s="48" t="b">
        <v>0</v>
      </c>
    </row>
    <row r="48" spans="1:40" ht="13" x14ac:dyDescent="0.15">
      <c r="A48" s="21" t="s">
        <v>204</v>
      </c>
      <c r="B48" s="34" t="s">
        <v>231</v>
      </c>
      <c r="C48" s="34" t="s">
        <v>232</v>
      </c>
      <c r="D48" s="45" t="s">
        <v>316</v>
      </c>
      <c r="E48" s="36">
        <f t="shared" si="0"/>
        <v>0</v>
      </c>
      <c r="F48" s="37">
        <f t="shared" si="1"/>
        <v>0</v>
      </c>
      <c r="G48" s="37">
        <f t="shared" si="2"/>
        <v>0</v>
      </c>
      <c r="H48" s="38">
        <f t="shared" si="3"/>
        <v>0</v>
      </c>
      <c r="I48" s="39">
        <f t="shared" si="6"/>
        <v>0</v>
      </c>
      <c r="J48" s="40">
        <f t="shared" si="4"/>
        <v>0</v>
      </c>
      <c r="K48" s="41"/>
      <c r="L48" s="30"/>
      <c r="M48" s="42" t="b">
        <v>0</v>
      </c>
      <c r="N48" s="43"/>
      <c r="O48" s="30"/>
      <c r="P48" s="42" t="b">
        <v>0</v>
      </c>
      <c r="Q48" s="43"/>
      <c r="R48" s="30"/>
      <c r="S48" s="42" t="b">
        <v>0</v>
      </c>
      <c r="T48" s="43"/>
      <c r="U48" s="30"/>
      <c r="V48" s="42" t="b">
        <v>0</v>
      </c>
      <c r="W48" s="43"/>
      <c r="X48" s="30"/>
      <c r="Y48" s="42" t="b">
        <v>0</v>
      </c>
      <c r="Z48" s="43"/>
      <c r="AA48" s="30"/>
      <c r="AB48" s="42" t="b">
        <v>0</v>
      </c>
      <c r="AC48" s="43"/>
      <c r="AD48" s="30"/>
      <c r="AE48" s="42" t="b">
        <v>0</v>
      </c>
      <c r="AF48" s="43"/>
      <c r="AG48" s="30"/>
      <c r="AH48" s="42" t="b">
        <v>0</v>
      </c>
      <c r="AI48" s="43"/>
      <c r="AJ48" s="30"/>
      <c r="AK48" s="42" t="b">
        <v>0</v>
      </c>
      <c r="AL48" s="43"/>
      <c r="AM48" s="30"/>
      <c r="AN48" s="48" t="b">
        <v>0</v>
      </c>
    </row>
    <row r="49" spans="1:40" ht="13" x14ac:dyDescent="0.15">
      <c r="A49" s="21" t="s">
        <v>204</v>
      </c>
      <c r="B49" s="34" t="s">
        <v>233</v>
      </c>
      <c r="C49" s="34" t="s">
        <v>234</v>
      </c>
      <c r="D49" s="45" t="s">
        <v>316</v>
      </c>
      <c r="E49" s="36">
        <f t="shared" si="0"/>
        <v>0</v>
      </c>
      <c r="F49" s="37">
        <f t="shared" si="1"/>
        <v>2</v>
      </c>
      <c r="G49" s="37">
        <f t="shared" si="2"/>
        <v>0</v>
      </c>
      <c r="H49" s="38">
        <f t="shared" si="3"/>
        <v>0</v>
      </c>
      <c r="I49" s="39">
        <f t="shared" si="6"/>
        <v>14</v>
      </c>
      <c r="J49" s="40">
        <f t="shared" si="4"/>
        <v>2.564102564102564E-2</v>
      </c>
      <c r="K49" s="46">
        <v>46084</v>
      </c>
      <c r="L49" s="30" t="s">
        <v>19</v>
      </c>
      <c r="M49" s="42" t="b">
        <v>0</v>
      </c>
      <c r="N49" s="47">
        <v>46091</v>
      </c>
      <c r="O49" s="30" t="s">
        <v>19</v>
      </c>
      <c r="P49" s="42" t="b">
        <v>0</v>
      </c>
      <c r="Q49" s="43"/>
      <c r="R49" s="30"/>
      <c r="S49" s="42" t="b">
        <v>0</v>
      </c>
      <c r="T49" s="43"/>
      <c r="U49" s="30"/>
      <c r="V49" s="42" t="b">
        <v>0</v>
      </c>
      <c r="W49" s="43"/>
      <c r="X49" s="30"/>
      <c r="Y49" s="42" t="b">
        <v>0</v>
      </c>
      <c r="Z49" s="43"/>
      <c r="AA49" s="30"/>
      <c r="AB49" s="42" t="b">
        <v>0</v>
      </c>
      <c r="AC49" s="43"/>
      <c r="AD49" s="30"/>
      <c r="AE49" s="42" t="b">
        <v>0</v>
      </c>
      <c r="AF49" s="43"/>
      <c r="AG49" s="30"/>
      <c r="AH49" s="42" t="b">
        <v>0</v>
      </c>
      <c r="AI49" s="43"/>
      <c r="AJ49" s="30"/>
      <c r="AK49" s="42" t="b">
        <v>0</v>
      </c>
      <c r="AL49" s="43"/>
      <c r="AM49" s="30"/>
      <c r="AN49" s="48" t="b">
        <v>0</v>
      </c>
    </row>
    <row r="50" spans="1:40" ht="13" x14ac:dyDescent="0.15">
      <c r="A50" s="21" t="s">
        <v>204</v>
      </c>
      <c r="B50" s="34" t="s">
        <v>235</v>
      </c>
      <c r="C50" s="34" t="s">
        <v>236</v>
      </c>
      <c r="D50" s="45" t="s">
        <v>316</v>
      </c>
      <c r="E50" s="36">
        <f t="shared" si="0"/>
        <v>0</v>
      </c>
      <c r="F50" s="37">
        <f t="shared" si="1"/>
        <v>5</v>
      </c>
      <c r="G50" s="37">
        <f t="shared" si="2"/>
        <v>0</v>
      </c>
      <c r="H50" s="38">
        <f t="shared" si="3"/>
        <v>2</v>
      </c>
      <c r="I50" s="39">
        <f t="shared" si="6"/>
        <v>49</v>
      </c>
      <c r="J50" s="40">
        <f t="shared" si="4"/>
        <v>8.9743589743589744E-2</v>
      </c>
      <c r="K50" s="46">
        <v>46098</v>
      </c>
      <c r="L50" s="30" t="s">
        <v>19</v>
      </c>
      <c r="M50" s="42" t="b">
        <v>1</v>
      </c>
      <c r="N50" s="47">
        <v>46091</v>
      </c>
      <c r="O50" s="30" t="s">
        <v>19</v>
      </c>
      <c r="P50" s="42" t="b">
        <v>0</v>
      </c>
      <c r="Q50" s="47">
        <v>46105</v>
      </c>
      <c r="R50" s="30" t="s">
        <v>21</v>
      </c>
      <c r="S50" s="42" t="b">
        <v>1</v>
      </c>
      <c r="T50" s="47">
        <v>46119</v>
      </c>
      <c r="U50" s="30" t="s">
        <v>19</v>
      </c>
      <c r="V50" s="42" t="b">
        <v>0</v>
      </c>
      <c r="W50" s="47">
        <v>46126</v>
      </c>
      <c r="X50" s="30" t="s">
        <v>21</v>
      </c>
      <c r="Y50" s="42" t="b">
        <v>1</v>
      </c>
      <c r="Z50" s="47">
        <v>46112</v>
      </c>
      <c r="AA50" s="30" t="s">
        <v>19</v>
      </c>
      <c r="AB50" s="42" t="b">
        <v>0</v>
      </c>
      <c r="AC50" s="47">
        <v>46147</v>
      </c>
      <c r="AD50" s="30" t="s">
        <v>19</v>
      </c>
      <c r="AE50" s="42" t="b">
        <v>0</v>
      </c>
      <c r="AF50" s="47">
        <v>46154</v>
      </c>
      <c r="AG50" s="30"/>
      <c r="AH50" s="42" t="b">
        <v>0</v>
      </c>
      <c r="AI50" s="43"/>
      <c r="AJ50" s="30"/>
      <c r="AK50" s="42" t="b">
        <v>0</v>
      </c>
      <c r="AL50" s="43"/>
      <c r="AM50" s="30"/>
      <c r="AN50" s="48" t="b">
        <v>0</v>
      </c>
    </row>
    <row r="51" spans="1:40" ht="13" x14ac:dyDescent="0.15">
      <c r="A51" s="21" t="s">
        <v>204</v>
      </c>
      <c r="B51" s="34" t="s">
        <v>237</v>
      </c>
      <c r="C51" s="34" t="s">
        <v>238</v>
      </c>
      <c r="D51" s="45" t="s">
        <v>316</v>
      </c>
      <c r="E51" s="36">
        <f t="shared" si="0"/>
        <v>0</v>
      </c>
      <c r="F51" s="37">
        <f t="shared" si="1"/>
        <v>1</v>
      </c>
      <c r="G51" s="37">
        <f t="shared" si="2"/>
        <v>0</v>
      </c>
      <c r="H51" s="38">
        <f t="shared" si="3"/>
        <v>0</v>
      </c>
      <c r="I51" s="39">
        <f t="shared" si="6"/>
        <v>7</v>
      </c>
      <c r="J51" s="40">
        <f t="shared" si="4"/>
        <v>1.282051282051282E-2</v>
      </c>
      <c r="K51" s="41" t="s">
        <v>239</v>
      </c>
      <c r="L51" s="30" t="s">
        <v>19</v>
      </c>
      <c r="M51" s="42" t="b">
        <v>0</v>
      </c>
      <c r="N51" s="43"/>
      <c r="O51" s="30"/>
      <c r="P51" s="42" t="b">
        <v>0</v>
      </c>
      <c r="Q51" s="43"/>
      <c r="R51" s="30"/>
      <c r="S51" s="42" t="b">
        <v>0</v>
      </c>
      <c r="T51" s="43"/>
      <c r="U51" s="30"/>
      <c r="V51" s="42" t="b">
        <v>0</v>
      </c>
      <c r="W51" s="43"/>
      <c r="X51" s="30"/>
      <c r="Y51" s="42" t="b">
        <v>0</v>
      </c>
      <c r="Z51" s="43"/>
      <c r="AA51" s="30"/>
      <c r="AB51" s="42" t="b">
        <v>0</v>
      </c>
      <c r="AC51" s="43"/>
      <c r="AD51" s="30"/>
      <c r="AE51" s="42" t="b">
        <v>0</v>
      </c>
      <c r="AF51" s="43"/>
      <c r="AG51" s="30"/>
      <c r="AH51" s="42" t="b">
        <v>0</v>
      </c>
      <c r="AI51" s="43"/>
      <c r="AJ51" s="30"/>
      <c r="AK51" s="42" t="b">
        <v>0</v>
      </c>
      <c r="AL51" s="43"/>
      <c r="AM51" s="30"/>
      <c r="AN51" s="48" t="b">
        <v>0</v>
      </c>
    </row>
    <row r="52" spans="1:40" ht="13" x14ac:dyDescent="0.15">
      <c r="A52" s="21" t="s">
        <v>204</v>
      </c>
      <c r="B52" s="34" t="s">
        <v>97</v>
      </c>
      <c r="C52" s="34" t="s">
        <v>240</v>
      </c>
      <c r="D52" s="45" t="s">
        <v>316</v>
      </c>
      <c r="E52" s="36">
        <f t="shared" si="0"/>
        <v>0</v>
      </c>
      <c r="F52" s="37">
        <f t="shared" si="1"/>
        <v>0</v>
      </c>
      <c r="G52" s="37">
        <f t="shared" si="2"/>
        <v>0</v>
      </c>
      <c r="H52" s="38">
        <f t="shared" si="3"/>
        <v>0</v>
      </c>
      <c r="I52" s="39">
        <f t="shared" si="6"/>
        <v>0</v>
      </c>
      <c r="J52" s="40">
        <f t="shared" si="4"/>
        <v>0</v>
      </c>
      <c r="K52" s="41"/>
      <c r="L52" s="30"/>
      <c r="M52" s="42" t="b">
        <v>0</v>
      </c>
      <c r="N52" s="43"/>
      <c r="O52" s="30"/>
      <c r="P52" s="42" t="b">
        <v>0</v>
      </c>
      <c r="Q52" s="43"/>
      <c r="R52" s="30"/>
      <c r="S52" s="42" t="b">
        <v>0</v>
      </c>
      <c r="T52" s="43"/>
      <c r="U52" s="30"/>
      <c r="V52" s="42" t="b">
        <v>0</v>
      </c>
      <c r="W52" s="43"/>
      <c r="X52" s="30"/>
      <c r="Y52" s="42" t="b">
        <v>0</v>
      </c>
      <c r="Z52" s="43"/>
      <c r="AA52" s="30"/>
      <c r="AB52" s="42" t="b">
        <v>0</v>
      </c>
      <c r="AC52" s="43"/>
      <c r="AD52" s="30"/>
      <c r="AE52" s="42" t="b">
        <v>0</v>
      </c>
      <c r="AF52" s="43"/>
      <c r="AG52" s="30"/>
      <c r="AH52" s="42" t="b">
        <v>0</v>
      </c>
      <c r="AI52" s="43"/>
      <c r="AJ52" s="30"/>
      <c r="AK52" s="42" t="b">
        <v>0</v>
      </c>
      <c r="AL52" s="43"/>
      <c r="AM52" s="30"/>
      <c r="AN52" s="48" t="b">
        <v>0</v>
      </c>
    </row>
    <row r="53" spans="1:40" ht="13" x14ac:dyDescent="0.15">
      <c r="A53" s="21" t="s">
        <v>204</v>
      </c>
      <c r="B53" s="34" t="s">
        <v>241</v>
      </c>
      <c r="C53" s="34" t="s">
        <v>242</v>
      </c>
      <c r="D53" s="45" t="s">
        <v>316</v>
      </c>
      <c r="E53" s="36">
        <f t="shared" si="0"/>
        <v>0</v>
      </c>
      <c r="F53" s="37">
        <f t="shared" si="1"/>
        <v>3</v>
      </c>
      <c r="G53" s="37">
        <f t="shared" si="2"/>
        <v>0</v>
      </c>
      <c r="H53" s="38">
        <f t="shared" si="3"/>
        <v>0</v>
      </c>
      <c r="I53" s="39">
        <f t="shared" si="6"/>
        <v>21</v>
      </c>
      <c r="J53" s="40">
        <f t="shared" si="4"/>
        <v>3.8461538461538464E-2</v>
      </c>
      <c r="K53" s="46">
        <v>46084</v>
      </c>
      <c r="L53" s="30" t="s">
        <v>21</v>
      </c>
      <c r="M53" s="42" t="b">
        <v>1</v>
      </c>
      <c r="N53" s="47">
        <v>46098</v>
      </c>
      <c r="O53" s="30" t="s">
        <v>19</v>
      </c>
      <c r="P53" s="42" t="b">
        <v>1</v>
      </c>
      <c r="Q53" s="47">
        <v>46147</v>
      </c>
      <c r="R53" s="30" t="s">
        <v>19</v>
      </c>
      <c r="S53" s="42" t="b">
        <v>0</v>
      </c>
      <c r="T53" s="47">
        <v>46154</v>
      </c>
      <c r="U53" s="30" t="s">
        <v>19</v>
      </c>
      <c r="V53" s="42" t="b">
        <v>0</v>
      </c>
      <c r="W53" s="43"/>
      <c r="X53" s="30"/>
      <c r="Y53" s="42" t="b">
        <v>0</v>
      </c>
      <c r="Z53" s="43"/>
      <c r="AA53" s="30"/>
      <c r="AB53" s="42" t="b">
        <v>0</v>
      </c>
      <c r="AC53" s="43"/>
      <c r="AD53" s="30"/>
      <c r="AE53" s="42" t="b">
        <v>0</v>
      </c>
      <c r="AF53" s="43"/>
      <c r="AG53" s="30"/>
      <c r="AH53" s="42" t="b">
        <v>0</v>
      </c>
      <c r="AI53" s="43"/>
      <c r="AJ53" s="30"/>
      <c r="AK53" s="42" t="b">
        <v>0</v>
      </c>
      <c r="AL53" s="43"/>
      <c r="AM53" s="30"/>
      <c r="AN53" s="48" t="b">
        <v>0</v>
      </c>
    </row>
    <row r="54" spans="1:40" ht="13" x14ac:dyDescent="0.15">
      <c r="A54" s="21" t="s">
        <v>204</v>
      </c>
      <c r="B54" s="34" t="s">
        <v>243</v>
      </c>
      <c r="C54" s="34" t="s">
        <v>244</v>
      </c>
      <c r="D54" s="45" t="s">
        <v>316</v>
      </c>
      <c r="E54" s="36">
        <f t="shared" si="0"/>
        <v>0</v>
      </c>
      <c r="F54" s="37">
        <f t="shared" si="1"/>
        <v>4</v>
      </c>
      <c r="G54" s="37">
        <f t="shared" si="2"/>
        <v>0</v>
      </c>
      <c r="H54" s="38">
        <f t="shared" si="3"/>
        <v>0</v>
      </c>
      <c r="I54" s="39">
        <f t="shared" si="6"/>
        <v>28</v>
      </c>
      <c r="J54" s="40">
        <f t="shared" si="4"/>
        <v>5.128205128205128E-2</v>
      </c>
      <c r="K54" s="46">
        <v>46119</v>
      </c>
      <c r="L54" s="30" t="s">
        <v>19</v>
      </c>
      <c r="M54" s="42" t="b">
        <v>0</v>
      </c>
      <c r="N54" s="47">
        <v>46133</v>
      </c>
      <c r="O54" s="30" t="s">
        <v>19</v>
      </c>
      <c r="P54" s="42" t="b">
        <v>0</v>
      </c>
      <c r="Q54" s="47">
        <v>46147</v>
      </c>
      <c r="R54" s="30" t="s">
        <v>19</v>
      </c>
      <c r="S54" s="42" t="b">
        <v>0</v>
      </c>
      <c r="T54" s="47">
        <v>46154</v>
      </c>
      <c r="U54" s="30" t="s">
        <v>19</v>
      </c>
      <c r="V54" s="42" t="b">
        <v>0</v>
      </c>
      <c r="W54" s="43"/>
      <c r="X54" s="30"/>
      <c r="Y54" s="42" t="b">
        <v>0</v>
      </c>
      <c r="Z54" s="43"/>
      <c r="AA54" s="30"/>
      <c r="AB54" s="42" t="b">
        <v>0</v>
      </c>
      <c r="AC54" s="43"/>
      <c r="AD54" s="30"/>
      <c r="AE54" s="42" t="b">
        <v>0</v>
      </c>
      <c r="AF54" s="43"/>
      <c r="AG54" s="30"/>
      <c r="AH54" s="42" t="b">
        <v>0</v>
      </c>
      <c r="AI54" s="43"/>
      <c r="AJ54" s="30"/>
      <c r="AK54" s="42" t="b">
        <v>0</v>
      </c>
      <c r="AL54" s="43"/>
      <c r="AM54" s="30"/>
      <c r="AN54" s="48" t="b">
        <v>0</v>
      </c>
    </row>
    <row r="55" spans="1:40" ht="13" x14ac:dyDescent="0.15">
      <c r="A55" s="21" t="s">
        <v>204</v>
      </c>
      <c r="B55" s="34" t="s">
        <v>245</v>
      </c>
      <c r="C55" s="34" t="s">
        <v>246</v>
      </c>
      <c r="D55" s="45" t="s">
        <v>316</v>
      </c>
      <c r="E55" s="36">
        <f t="shared" si="0"/>
        <v>0</v>
      </c>
      <c r="F55" s="37">
        <f t="shared" si="1"/>
        <v>5</v>
      </c>
      <c r="G55" s="37">
        <f t="shared" si="2"/>
        <v>0</v>
      </c>
      <c r="H55" s="38">
        <f t="shared" si="3"/>
        <v>0</v>
      </c>
      <c r="I55" s="39">
        <f t="shared" si="6"/>
        <v>35</v>
      </c>
      <c r="J55" s="40">
        <f t="shared" si="4"/>
        <v>6.4102564102564097E-2</v>
      </c>
      <c r="K55" s="46">
        <v>46119</v>
      </c>
      <c r="L55" s="30" t="s">
        <v>19</v>
      </c>
      <c r="M55" s="42" t="b">
        <v>0</v>
      </c>
      <c r="N55" s="47">
        <v>46126</v>
      </c>
      <c r="O55" s="30" t="s">
        <v>19</v>
      </c>
      <c r="P55" s="42" t="b">
        <v>0</v>
      </c>
      <c r="Q55" s="47">
        <v>46133</v>
      </c>
      <c r="R55" s="30" t="s">
        <v>19</v>
      </c>
      <c r="S55" s="42" t="b">
        <v>1</v>
      </c>
      <c r="T55" s="47">
        <v>46147</v>
      </c>
      <c r="U55" s="30" t="s">
        <v>19</v>
      </c>
      <c r="V55" s="42" t="b">
        <v>0</v>
      </c>
      <c r="W55" s="47">
        <v>46154</v>
      </c>
      <c r="X55" s="30" t="s">
        <v>19</v>
      </c>
      <c r="Y55" s="42" t="b">
        <v>0</v>
      </c>
      <c r="Z55" s="43"/>
      <c r="AA55" s="30"/>
      <c r="AB55" s="42" t="b">
        <v>0</v>
      </c>
      <c r="AC55" s="43"/>
      <c r="AD55" s="30"/>
      <c r="AE55" s="42" t="b">
        <v>0</v>
      </c>
      <c r="AF55" s="43"/>
      <c r="AG55" s="30"/>
      <c r="AH55" s="42" t="b">
        <v>0</v>
      </c>
      <c r="AI55" s="43"/>
      <c r="AJ55" s="30"/>
      <c r="AK55" s="42" t="b">
        <v>0</v>
      </c>
      <c r="AL55" s="43"/>
      <c r="AM55" s="30"/>
      <c r="AN55" s="48" t="b">
        <v>0</v>
      </c>
    </row>
    <row r="56" spans="1:40" ht="14" x14ac:dyDescent="0.15">
      <c r="A56" s="65" t="s">
        <v>247</v>
      </c>
      <c r="B56" s="66" t="s">
        <v>248</v>
      </c>
      <c r="C56" s="67" t="s">
        <v>249</v>
      </c>
      <c r="D56" s="45" t="s">
        <v>316</v>
      </c>
      <c r="E56" s="36">
        <f t="shared" si="0"/>
        <v>0</v>
      </c>
      <c r="F56" s="37">
        <f t="shared" si="1"/>
        <v>0</v>
      </c>
      <c r="G56" s="37">
        <f t="shared" si="2"/>
        <v>0</v>
      </c>
      <c r="H56" s="38">
        <f t="shared" si="3"/>
        <v>0</v>
      </c>
      <c r="I56" s="39">
        <f t="shared" si="6"/>
        <v>0</v>
      </c>
      <c r="J56" s="40">
        <f t="shared" si="4"/>
        <v>0</v>
      </c>
      <c r="K56" s="41"/>
      <c r="L56" s="30"/>
      <c r="M56" s="42" t="b">
        <v>0</v>
      </c>
      <c r="N56" s="43"/>
      <c r="O56" s="30"/>
      <c r="P56" s="42" t="b">
        <v>0</v>
      </c>
      <c r="Q56" s="43"/>
      <c r="R56" s="30"/>
      <c r="S56" s="42" t="b">
        <v>0</v>
      </c>
      <c r="T56" s="43"/>
      <c r="U56" s="30"/>
      <c r="V56" s="42" t="b">
        <v>0</v>
      </c>
      <c r="W56" s="43"/>
      <c r="X56" s="30"/>
      <c r="Y56" s="42" t="b">
        <v>0</v>
      </c>
      <c r="Z56" s="43"/>
      <c r="AA56" s="30"/>
      <c r="AB56" s="42" t="b">
        <v>0</v>
      </c>
      <c r="AC56" s="43"/>
      <c r="AD56" s="30"/>
      <c r="AE56" s="42" t="b">
        <v>0</v>
      </c>
      <c r="AF56" s="43"/>
      <c r="AG56" s="30"/>
      <c r="AH56" s="42" t="b">
        <v>0</v>
      </c>
      <c r="AI56" s="43"/>
      <c r="AJ56" s="30"/>
      <c r="AK56" s="42" t="b">
        <v>0</v>
      </c>
      <c r="AL56" s="43"/>
      <c r="AM56" s="30"/>
      <c r="AN56" s="48" t="b">
        <v>0</v>
      </c>
    </row>
    <row r="57" spans="1:40" ht="14" x14ac:dyDescent="0.15">
      <c r="A57" s="65" t="s">
        <v>247</v>
      </c>
      <c r="B57" s="66" t="s">
        <v>250</v>
      </c>
      <c r="C57" s="67" t="s">
        <v>251</v>
      </c>
      <c r="D57" s="45" t="s">
        <v>316</v>
      </c>
      <c r="E57" s="36">
        <f t="shared" si="0"/>
        <v>0</v>
      </c>
      <c r="F57" s="37">
        <f t="shared" si="1"/>
        <v>0</v>
      </c>
      <c r="G57" s="37">
        <f t="shared" si="2"/>
        <v>0</v>
      </c>
      <c r="H57" s="38">
        <f t="shared" si="3"/>
        <v>0</v>
      </c>
      <c r="I57" s="39">
        <f t="shared" si="6"/>
        <v>0</v>
      </c>
      <c r="J57" s="40">
        <f t="shared" si="4"/>
        <v>0</v>
      </c>
      <c r="K57" s="41"/>
      <c r="L57" s="30"/>
      <c r="M57" s="42" t="b">
        <v>0</v>
      </c>
      <c r="N57" s="43"/>
      <c r="O57" s="30"/>
      <c r="P57" s="42" t="b">
        <v>0</v>
      </c>
      <c r="Q57" s="43"/>
      <c r="R57" s="30"/>
      <c r="S57" s="42" t="b">
        <v>0</v>
      </c>
      <c r="T57" s="43"/>
      <c r="U57" s="30"/>
      <c r="V57" s="42" t="b">
        <v>0</v>
      </c>
      <c r="W57" s="43"/>
      <c r="X57" s="30"/>
      <c r="Y57" s="42" t="b">
        <v>0</v>
      </c>
      <c r="Z57" s="43"/>
      <c r="AA57" s="30"/>
      <c r="AB57" s="42" t="b">
        <v>0</v>
      </c>
      <c r="AC57" s="43"/>
      <c r="AD57" s="30"/>
      <c r="AE57" s="42" t="b">
        <v>0</v>
      </c>
      <c r="AF57" s="43"/>
      <c r="AG57" s="30"/>
      <c r="AH57" s="42" t="b">
        <v>0</v>
      </c>
      <c r="AI57" s="43"/>
      <c r="AJ57" s="30"/>
      <c r="AK57" s="42" t="b">
        <v>0</v>
      </c>
      <c r="AL57" s="43"/>
      <c r="AM57" s="30"/>
      <c r="AN57" s="48" t="b">
        <v>0</v>
      </c>
    </row>
    <row r="58" spans="1:40" ht="14" x14ac:dyDescent="0.15">
      <c r="A58" s="65" t="s">
        <v>247</v>
      </c>
      <c r="B58" s="66" t="s">
        <v>252</v>
      </c>
      <c r="C58" s="67" t="s">
        <v>253</v>
      </c>
      <c r="D58" s="45" t="s">
        <v>316</v>
      </c>
      <c r="E58" s="36">
        <f t="shared" si="0"/>
        <v>0</v>
      </c>
      <c r="F58" s="37">
        <f t="shared" si="1"/>
        <v>0</v>
      </c>
      <c r="G58" s="37">
        <f t="shared" si="2"/>
        <v>0</v>
      </c>
      <c r="H58" s="38">
        <f t="shared" si="3"/>
        <v>0</v>
      </c>
      <c r="I58" s="39">
        <f t="shared" si="6"/>
        <v>0</v>
      </c>
      <c r="J58" s="40">
        <f t="shared" si="4"/>
        <v>0</v>
      </c>
      <c r="K58" s="41"/>
      <c r="L58" s="30"/>
      <c r="M58" s="42" t="b">
        <v>0</v>
      </c>
      <c r="N58" s="43"/>
      <c r="O58" s="30"/>
      <c r="P58" s="42" t="b">
        <v>0</v>
      </c>
      <c r="Q58" s="43"/>
      <c r="R58" s="30"/>
      <c r="S58" s="42" t="b">
        <v>0</v>
      </c>
      <c r="T58" s="43"/>
      <c r="U58" s="30"/>
      <c r="V58" s="42" t="b">
        <v>0</v>
      </c>
      <c r="W58" s="43"/>
      <c r="X58" s="30"/>
      <c r="Y58" s="42" t="b">
        <v>0</v>
      </c>
      <c r="Z58" s="43"/>
      <c r="AA58" s="30"/>
      <c r="AB58" s="42" t="b">
        <v>0</v>
      </c>
      <c r="AC58" s="43"/>
      <c r="AD58" s="30"/>
      <c r="AE58" s="42" t="b">
        <v>0</v>
      </c>
      <c r="AF58" s="43"/>
      <c r="AG58" s="30"/>
      <c r="AH58" s="42" t="b">
        <v>0</v>
      </c>
      <c r="AI58" s="43"/>
      <c r="AJ58" s="30"/>
      <c r="AK58" s="42" t="b">
        <v>0</v>
      </c>
      <c r="AL58" s="43"/>
      <c r="AM58" s="30"/>
      <c r="AN58" s="48" t="b">
        <v>0</v>
      </c>
    </row>
    <row r="59" spans="1:40" ht="14" x14ac:dyDescent="0.15">
      <c r="A59" s="65" t="s">
        <v>247</v>
      </c>
      <c r="B59" s="66" t="s">
        <v>254</v>
      </c>
      <c r="C59" s="67" t="s">
        <v>255</v>
      </c>
      <c r="D59" s="45" t="s">
        <v>316</v>
      </c>
      <c r="E59" s="36">
        <f t="shared" si="0"/>
        <v>0</v>
      </c>
      <c r="F59" s="37">
        <f t="shared" si="1"/>
        <v>0</v>
      </c>
      <c r="G59" s="37">
        <f t="shared" si="2"/>
        <v>0</v>
      </c>
      <c r="H59" s="38">
        <f t="shared" si="3"/>
        <v>0</v>
      </c>
      <c r="I59" s="39">
        <f t="shared" si="6"/>
        <v>0</v>
      </c>
      <c r="J59" s="40">
        <f t="shared" si="4"/>
        <v>0</v>
      </c>
      <c r="K59" s="41"/>
      <c r="L59" s="30"/>
      <c r="M59" s="42" t="b">
        <v>0</v>
      </c>
      <c r="N59" s="43"/>
      <c r="O59" s="30"/>
      <c r="P59" s="42" t="b">
        <v>0</v>
      </c>
      <c r="Q59" s="43"/>
      <c r="R59" s="30"/>
      <c r="S59" s="42" t="b">
        <v>0</v>
      </c>
      <c r="T59" s="43"/>
      <c r="U59" s="30"/>
      <c r="V59" s="42" t="b">
        <v>0</v>
      </c>
      <c r="W59" s="43"/>
      <c r="X59" s="30"/>
      <c r="Y59" s="42" t="b">
        <v>0</v>
      </c>
      <c r="Z59" s="43"/>
      <c r="AA59" s="30"/>
      <c r="AB59" s="42" t="b">
        <v>0</v>
      </c>
      <c r="AC59" s="43"/>
      <c r="AD59" s="30"/>
      <c r="AE59" s="42" t="b">
        <v>0</v>
      </c>
      <c r="AF59" s="43"/>
      <c r="AG59" s="30"/>
      <c r="AH59" s="42" t="b">
        <v>0</v>
      </c>
      <c r="AI59" s="43"/>
      <c r="AJ59" s="30"/>
      <c r="AK59" s="42" t="b">
        <v>0</v>
      </c>
      <c r="AL59" s="43"/>
      <c r="AM59" s="30"/>
      <c r="AN59" s="48" t="b">
        <v>0</v>
      </c>
    </row>
    <row r="60" spans="1:40" ht="14" x14ac:dyDescent="0.15">
      <c r="A60" s="65" t="s">
        <v>247</v>
      </c>
      <c r="B60" s="66" t="s">
        <v>256</v>
      </c>
      <c r="C60" s="67" t="s">
        <v>257</v>
      </c>
      <c r="D60" s="45" t="s">
        <v>316</v>
      </c>
      <c r="E60" s="36">
        <f t="shared" si="0"/>
        <v>0</v>
      </c>
      <c r="F60" s="37">
        <f t="shared" si="1"/>
        <v>0</v>
      </c>
      <c r="G60" s="37">
        <f t="shared" si="2"/>
        <v>0</v>
      </c>
      <c r="H60" s="38">
        <f t="shared" si="3"/>
        <v>0</v>
      </c>
      <c r="I60" s="39">
        <f t="shared" si="6"/>
        <v>0</v>
      </c>
      <c r="J60" s="40">
        <f t="shared" si="4"/>
        <v>0</v>
      </c>
      <c r="K60" s="41"/>
      <c r="L60" s="30"/>
      <c r="M60" s="42" t="b">
        <v>0</v>
      </c>
      <c r="N60" s="43"/>
      <c r="O60" s="30"/>
      <c r="P60" s="42" t="b">
        <v>0</v>
      </c>
      <c r="Q60" s="43"/>
      <c r="R60" s="30"/>
      <c r="S60" s="42" t="b">
        <v>0</v>
      </c>
      <c r="T60" s="43"/>
      <c r="U60" s="30"/>
      <c r="V60" s="42" t="b">
        <v>0</v>
      </c>
      <c r="W60" s="43"/>
      <c r="X60" s="30"/>
      <c r="Y60" s="42" t="b">
        <v>0</v>
      </c>
      <c r="Z60" s="43"/>
      <c r="AA60" s="30"/>
      <c r="AB60" s="42" t="b">
        <v>0</v>
      </c>
      <c r="AC60" s="43"/>
      <c r="AD60" s="30"/>
      <c r="AE60" s="42" t="b">
        <v>0</v>
      </c>
      <c r="AF60" s="43"/>
      <c r="AG60" s="30"/>
      <c r="AH60" s="42" t="b">
        <v>0</v>
      </c>
      <c r="AI60" s="43"/>
      <c r="AJ60" s="30"/>
      <c r="AK60" s="42" t="b">
        <v>0</v>
      </c>
      <c r="AL60" s="43"/>
      <c r="AM60" s="30"/>
      <c r="AN60" s="48" t="b">
        <v>0</v>
      </c>
    </row>
    <row r="61" spans="1:40" ht="14" x14ac:dyDescent="0.15">
      <c r="A61" s="65" t="s">
        <v>247</v>
      </c>
      <c r="B61" s="66" t="s">
        <v>258</v>
      </c>
      <c r="C61" s="67" t="s">
        <v>259</v>
      </c>
      <c r="D61" s="45" t="s">
        <v>316</v>
      </c>
      <c r="E61" s="36">
        <f t="shared" si="0"/>
        <v>0</v>
      </c>
      <c r="F61" s="37">
        <f t="shared" si="1"/>
        <v>0</v>
      </c>
      <c r="G61" s="37">
        <f t="shared" si="2"/>
        <v>0</v>
      </c>
      <c r="H61" s="38">
        <f t="shared" si="3"/>
        <v>0</v>
      </c>
      <c r="I61" s="39">
        <f t="shared" si="6"/>
        <v>0</v>
      </c>
      <c r="J61" s="40">
        <f t="shared" si="4"/>
        <v>0</v>
      </c>
      <c r="K61" s="41"/>
      <c r="L61" s="30"/>
      <c r="M61" s="42" t="b">
        <v>0</v>
      </c>
      <c r="N61" s="43"/>
      <c r="O61" s="30"/>
      <c r="P61" s="42" t="b">
        <v>0</v>
      </c>
      <c r="Q61" s="43"/>
      <c r="R61" s="30"/>
      <c r="S61" s="42" t="b">
        <v>0</v>
      </c>
      <c r="T61" s="43"/>
      <c r="U61" s="30"/>
      <c r="V61" s="42" t="b">
        <v>0</v>
      </c>
      <c r="W61" s="43"/>
      <c r="X61" s="30"/>
      <c r="Y61" s="42" t="b">
        <v>0</v>
      </c>
      <c r="Z61" s="43"/>
      <c r="AA61" s="30"/>
      <c r="AB61" s="42" t="b">
        <v>0</v>
      </c>
      <c r="AC61" s="43"/>
      <c r="AD61" s="30"/>
      <c r="AE61" s="42" t="b">
        <v>0</v>
      </c>
      <c r="AF61" s="43"/>
      <c r="AG61" s="30"/>
      <c r="AH61" s="42" t="b">
        <v>0</v>
      </c>
      <c r="AI61" s="43"/>
      <c r="AJ61" s="30"/>
      <c r="AK61" s="42" t="b">
        <v>0</v>
      </c>
      <c r="AL61" s="43"/>
      <c r="AM61" s="30"/>
      <c r="AN61" s="48" t="b">
        <v>0</v>
      </c>
    </row>
    <row r="62" spans="1:40" ht="14" x14ac:dyDescent="0.15">
      <c r="A62" s="65" t="s">
        <v>247</v>
      </c>
      <c r="B62" s="66" t="s">
        <v>260</v>
      </c>
      <c r="C62" s="67" t="s">
        <v>261</v>
      </c>
      <c r="D62" s="45" t="s">
        <v>316</v>
      </c>
      <c r="E62" s="36">
        <f t="shared" si="0"/>
        <v>0</v>
      </c>
      <c r="F62" s="37">
        <f t="shared" si="1"/>
        <v>4</v>
      </c>
      <c r="G62" s="37">
        <f t="shared" si="2"/>
        <v>0</v>
      </c>
      <c r="H62" s="38">
        <f t="shared" si="3"/>
        <v>0</v>
      </c>
      <c r="I62" s="39">
        <f t="shared" si="6"/>
        <v>28</v>
      </c>
      <c r="J62" s="40">
        <f t="shared" si="4"/>
        <v>5.128205128205128E-2</v>
      </c>
      <c r="K62" s="68">
        <v>46120</v>
      </c>
      <c r="L62" s="51" t="s">
        <v>19</v>
      </c>
      <c r="M62" s="42" t="b">
        <v>0</v>
      </c>
      <c r="N62" s="50">
        <v>46127</v>
      </c>
      <c r="O62" s="51" t="s">
        <v>19</v>
      </c>
      <c r="P62" s="42" t="b">
        <v>0</v>
      </c>
      <c r="Q62" s="50">
        <v>46134</v>
      </c>
      <c r="R62" s="51" t="s">
        <v>19</v>
      </c>
      <c r="S62" s="42" t="b">
        <v>0</v>
      </c>
      <c r="T62" s="50">
        <v>46141</v>
      </c>
      <c r="U62" s="51" t="s">
        <v>19</v>
      </c>
      <c r="V62" s="42" t="b">
        <v>0</v>
      </c>
      <c r="W62" s="43"/>
      <c r="X62" s="30"/>
      <c r="Y62" s="42" t="b">
        <v>0</v>
      </c>
      <c r="Z62" s="43"/>
      <c r="AA62" s="30"/>
      <c r="AB62" s="42" t="b">
        <v>0</v>
      </c>
      <c r="AC62" s="43"/>
      <c r="AD62" s="30"/>
      <c r="AE62" s="42" t="b">
        <v>0</v>
      </c>
      <c r="AF62" s="43"/>
      <c r="AG62" s="30"/>
      <c r="AH62" s="42" t="b">
        <v>0</v>
      </c>
      <c r="AI62" s="43"/>
      <c r="AJ62" s="30"/>
      <c r="AK62" s="42" t="b">
        <v>0</v>
      </c>
      <c r="AL62" s="43"/>
      <c r="AM62" s="30"/>
      <c r="AN62" s="48" t="b">
        <v>0</v>
      </c>
    </row>
    <row r="63" spans="1:40" ht="14" x14ac:dyDescent="0.15">
      <c r="A63" s="65" t="s">
        <v>247</v>
      </c>
      <c r="B63" s="66" t="s">
        <v>262</v>
      </c>
      <c r="C63" s="67" t="s">
        <v>263</v>
      </c>
      <c r="D63" s="45" t="s">
        <v>316</v>
      </c>
      <c r="E63" s="36">
        <f t="shared" si="0"/>
        <v>0</v>
      </c>
      <c r="F63" s="37">
        <f t="shared" si="1"/>
        <v>0</v>
      </c>
      <c r="G63" s="37">
        <f t="shared" si="2"/>
        <v>0</v>
      </c>
      <c r="H63" s="38">
        <f t="shared" si="3"/>
        <v>0</v>
      </c>
      <c r="I63" s="39">
        <f t="shared" si="6"/>
        <v>0</v>
      </c>
      <c r="J63" s="40">
        <f t="shared" si="4"/>
        <v>0</v>
      </c>
      <c r="K63" s="41"/>
      <c r="L63" s="30"/>
      <c r="M63" s="42" t="b">
        <v>0</v>
      </c>
      <c r="N63" s="43"/>
      <c r="O63" s="30"/>
      <c r="P63" s="42" t="b">
        <v>0</v>
      </c>
      <c r="Q63" s="43"/>
      <c r="R63" s="30"/>
      <c r="S63" s="42" t="b">
        <v>0</v>
      </c>
      <c r="T63" s="43"/>
      <c r="U63" s="30"/>
      <c r="V63" s="42" t="b">
        <v>0</v>
      </c>
      <c r="W63" s="43"/>
      <c r="X63" s="30"/>
      <c r="Y63" s="42" t="b">
        <v>0</v>
      </c>
      <c r="Z63" s="43"/>
      <c r="AA63" s="30"/>
      <c r="AB63" s="42" t="b">
        <v>0</v>
      </c>
      <c r="AC63" s="43"/>
      <c r="AD63" s="30"/>
      <c r="AE63" s="42" t="b">
        <v>0</v>
      </c>
      <c r="AF63" s="43"/>
      <c r="AG63" s="30"/>
      <c r="AH63" s="42" t="b">
        <v>0</v>
      </c>
      <c r="AI63" s="43"/>
      <c r="AJ63" s="30"/>
      <c r="AK63" s="42" t="b">
        <v>0</v>
      </c>
      <c r="AL63" s="43"/>
      <c r="AM63" s="30"/>
      <c r="AN63" s="48" t="b">
        <v>0</v>
      </c>
    </row>
    <row r="64" spans="1:40" ht="14" x14ac:dyDescent="0.15">
      <c r="A64" s="65" t="s">
        <v>247</v>
      </c>
      <c r="B64" s="66" t="s">
        <v>264</v>
      </c>
      <c r="C64" s="67" t="s">
        <v>90</v>
      </c>
      <c r="D64" s="45" t="s">
        <v>316</v>
      </c>
      <c r="E64" s="36">
        <f t="shared" si="0"/>
        <v>0</v>
      </c>
      <c r="F64" s="37">
        <f t="shared" si="1"/>
        <v>0</v>
      </c>
      <c r="G64" s="37">
        <f t="shared" si="2"/>
        <v>0</v>
      </c>
      <c r="H64" s="38">
        <f t="shared" si="3"/>
        <v>0</v>
      </c>
      <c r="I64" s="39">
        <f t="shared" si="6"/>
        <v>0</v>
      </c>
      <c r="J64" s="40">
        <f t="shared" si="4"/>
        <v>0</v>
      </c>
      <c r="K64" s="41"/>
      <c r="L64" s="30"/>
      <c r="M64" s="42" t="b">
        <v>0</v>
      </c>
      <c r="N64" s="43"/>
      <c r="O64" s="30"/>
      <c r="P64" s="42" t="b">
        <v>0</v>
      </c>
      <c r="Q64" s="43"/>
      <c r="R64" s="30"/>
      <c r="S64" s="42" t="b">
        <v>0</v>
      </c>
      <c r="T64" s="43"/>
      <c r="U64" s="30"/>
      <c r="V64" s="42" t="b">
        <v>0</v>
      </c>
      <c r="W64" s="43"/>
      <c r="X64" s="30"/>
      <c r="Y64" s="42" t="b">
        <v>0</v>
      </c>
      <c r="Z64" s="43"/>
      <c r="AA64" s="30"/>
      <c r="AB64" s="42" t="b">
        <v>0</v>
      </c>
      <c r="AC64" s="43"/>
      <c r="AD64" s="30"/>
      <c r="AE64" s="42" t="b">
        <v>0</v>
      </c>
      <c r="AF64" s="43"/>
      <c r="AG64" s="30"/>
      <c r="AH64" s="42" t="b">
        <v>0</v>
      </c>
      <c r="AI64" s="43"/>
      <c r="AJ64" s="30"/>
      <c r="AK64" s="42" t="b">
        <v>0</v>
      </c>
      <c r="AL64" s="43"/>
      <c r="AM64" s="30"/>
      <c r="AN64" s="48" t="b">
        <v>0</v>
      </c>
    </row>
    <row r="65" spans="1:40" ht="14" x14ac:dyDescent="0.15">
      <c r="A65" s="65" t="s">
        <v>247</v>
      </c>
      <c r="B65" s="66" t="s">
        <v>265</v>
      </c>
      <c r="C65" s="67" t="s">
        <v>266</v>
      </c>
      <c r="D65" s="45" t="s">
        <v>316</v>
      </c>
      <c r="E65" s="36">
        <f t="shared" si="0"/>
        <v>0</v>
      </c>
      <c r="F65" s="37">
        <f t="shared" si="1"/>
        <v>0</v>
      </c>
      <c r="G65" s="37">
        <f t="shared" si="2"/>
        <v>0</v>
      </c>
      <c r="H65" s="38">
        <f t="shared" si="3"/>
        <v>0</v>
      </c>
      <c r="I65" s="39">
        <f t="shared" si="6"/>
        <v>0</v>
      </c>
      <c r="J65" s="40">
        <f t="shared" si="4"/>
        <v>0</v>
      </c>
      <c r="K65" s="41"/>
      <c r="L65" s="30"/>
      <c r="M65" s="42" t="b">
        <v>0</v>
      </c>
      <c r="N65" s="43"/>
      <c r="O65" s="30"/>
      <c r="P65" s="42" t="b">
        <v>0</v>
      </c>
      <c r="Q65" s="43"/>
      <c r="R65" s="30"/>
      <c r="S65" s="42" t="b">
        <v>0</v>
      </c>
      <c r="T65" s="43"/>
      <c r="U65" s="30"/>
      <c r="V65" s="42" t="b">
        <v>0</v>
      </c>
      <c r="W65" s="43"/>
      <c r="X65" s="30"/>
      <c r="Y65" s="42" t="b">
        <v>0</v>
      </c>
      <c r="Z65" s="43"/>
      <c r="AA65" s="30"/>
      <c r="AB65" s="42" t="b">
        <v>0</v>
      </c>
      <c r="AC65" s="43"/>
      <c r="AD65" s="30"/>
      <c r="AE65" s="42" t="b">
        <v>0</v>
      </c>
      <c r="AF65" s="43"/>
      <c r="AG65" s="30"/>
      <c r="AH65" s="42" t="b">
        <v>0</v>
      </c>
      <c r="AI65" s="43"/>
      <c r="AJ65" s="30"/>
      <c r="AK65" s="42" t="b">
        <v>0</v>
      </c>
      <c r="AL65" s="43"/>
      <c r="AM65" s="30"/>
      <c r="AN65" s="48" t="b">
        <v>0</v>
      </c>
    </row>
    <row r="66" spans="1:40" ht="14" x14ac:dyDescent="0.15">
      <c r="A66" s="65" t="s">
        <v>247</v>
      </c>
      <c r="B66" s="66" t="s">
        <v>267</v>
      </c>
      <c r="C66" s="67" t="s">
        <v>268</v>
      </c>
      <c r="D66" s="45" t="s">
        <v>316</v>
      </c>
      <c r="E66" s="36">
        <f t="shared" si="0"/>
        <v>0</v>
      </c>
      <c r="F66" s="37">
        <f t="shared" si="1"/>
        <v>0</v>
      </c>
      <c r="G66" s="37">
        <f t="shared" si="2"/>
        <v>0</v>
      </c>
      <c r="H66" s="38">
        <f t="shared" si="3"/>
        <v>0</v>
      </c>
      <c r="I66" s="39">
        <f t="shared" si="6"/>
        <v>0</v>
      </c>
      <c r="J66" s="40">
        <f t="shared" si="4"/>
        <v>0</v>
      </c>
      <c r="K66" s="41"/>
      <c r="L66" s="30"/>
      <c r="M66" s="42" t="b">
        <v>0</v>
      </c>
      <c r="N66" s="43"/>
      <c r="O66" s="30"/>
      <c r="P66" s="42" t="b">
        <v>0</v>
      </c>
      <c r="Q66" s="43"/>
      <c r="R66" s="30"/>
      <c r="S66" s="42" t="b">
        <v>0</v>
      </c>
      <c r="T66" s="43"/>
      <c r="U66" s="30"/>
      <c r="V66" s="42" t="b">
        <v>0</v>
      </c>
      <c r="W66" s="43"/>
      <c r="X66" s="30"/>
      <c r="Y66" s="42" t="b">
        <v>0</v>
      </c>
      <c r="Z66" s="43"/>
      <c r="AA66" s="30"/>
      <c r="AB66" s="42" t="b">
        <v>0</v>
      </c>
      <c r="AC66" s="43"/>
      <c r="AD66" s="30"/>
      <c r="AE66" s="42" t="b">
        <v>0</v>
      </c>
      <c r="AF66" s="43"/>
      <c r="AG66" s="30"/>
      <c r="AH66" s="42" t="b">
        <v>0</v>
      </c>
      <c r="AI66" s="43"/>
      <c r="AJ66" s="30"/>
      <c r="AK66" s="42" t="b">
        <v>0</v>
      </c>
      <c r="AL66" s="43"/>
      <c r="AM66" s="30"/>
      <c r="AN66" s="48" t="b">
        <v>0</v>
      </c>
    </row>
    <row r="67" spans="1:40" ht="14" x14ac:dyDescent="0.15">
      <c r="A67" s="65" t="s">
        <v>247</v>
      </c>
      <c r="B67" s="66" t="s">
        <v>269</v>
      </c>
      <c r="C67" s="67" t="s">
        <v>270</v>
      </c>
      <c r="D67" s="45" t="s">
        <v>316</v>
      </c>
      <c r="E67" s="36">
        <f t="shared" si="0"/>
        <v>0</v>
      </c>
      <c r="F67" s="37">
        <f t="shared" si="1"/>
        <v>0</v>
      </c>
      <c r="G67" s="37">
        <f t="shared" si="2"/>
        <v>0</v>
      </c>
      <c r="H67" s="38">
        <f t="shared" si="3"/>
        <v>0</v>
      </c>
      <c r="I67" s="39">
        <f t="shared" si="6"/>
        <v>0</v>
      </c>
      <c r="J67" s="40">
        <f t="shared" si="4"/>
        <v>0</v>
      </c>
      <c r="K67" s="41"/>
      <c r="L67" s="30"/>
      <c r="M67" s="42" t="b">
        <v>0</v>
      </c>
      <c r="N67" s="43"/>
      <c r="O67" s="30"/>
      <c r="P67" s="42" t="b">
        <v>0</v>
      </c>
      <c r="Q67" s="43"/>
      <c r="R67" s="30"/>
      <c r="S67" s="42" t="b">
        <v>0</v>
      </c>
      <c r="T67" s="43"/>
      <c r="U67" s="30"/>
      <c r="V67" s="42" t="b">
        <v>0</v>
      </c>
      <c r="W67" s="43"/>
      <c r="X67" s="30"/>
      <c r="Y67" s="42" t="b">
        <v>0</v>
      </c>
      <c r="Z67" s="43"/>
      <c r="AA67" s="30"/>
      <c r="AB67" s="42" t="b">
        <v>0</v>
      </c>
      <c r="AC67" s="43"/>
      <c r="AD67" s="30"/>
      <c r="AE67" s="42" t="b">
        <v>0</v>
      </c>
      <c r="AF67" s="43"/>
      <c r="AG67" s="30"/>
      <c r="AH67" s="42" t="b">
        <v>0</v>
      </c>
      <c r="AI67" s="43"/>
      <c r="AJ67" s="30"/>
      <c r="AK67" s="42" t="b">
        <v>0</v>
      </c>
      <c r="AL67" s="43"/>
      <c r="AM67" s="30"/>
      <c r="AN67" s="48" t="b">
        <v>0</v>
      </c>
    </row>
    <row r="68" spans="1:40" ht="14" x14ac:dyDescent="0.15">
      <c r="A68" s="65" t="s">
        <v>247</v>
      </c>
      <c r="B68" s="66" t="s">
        <v>271</v>
      </c>
      <c r="C68" s="67" t="s">
        <v>272</v>
      </c>
      <c r="D68" s="45" t="s">
        <v>316</v>
      </c>
      <c r="E68" s="36">
        <f t="shared" si="0"/>
        <v>0</v>
      </c>
      <c r="F68" s="37">
        <f t="shared" si="1"/>
        <v>0</v>
      </c>
      <c r="G68" s="37">
        <f t="shared" si="2"/>
        <v>0</v>
      </c>
      <c r="H68" s="38">
        <f t="shared" si="3"/>
        <v>0</v>
      </c>
      <c r="I68" s="39">
        <f t="shared" si="6"/>
        <v>0</v>
      </c>
      <c r="J68" s="40">
        <f t="shared" si="4"/>
        <v>0</v>
      </c>
      <c r="K68" s="41"/>
      <c r="L68" s="30"/>
      <c r="M68" s="42" t="b">
        <v>0</v>
      </c>
      <c r="N68" s="43"/>
      <c r="O68" s="30"/>
      <c r="P68" s="42" t="b">
        <v>0</v>
      </c>
      <c r="Q68" s="43"/>
      <c r="R68" s="30"/>
      <c r="S68" s="42" t="b">
        <v>0</v>
      </c>
      <c r="T68" s="43"/>
      <c r="U68" s="30"/>
      <c r="V68" s="42" t="b">
        <v>0</v>
      </c>
      <c r="W68" s="43"/>
      <c r="X68" s="30"/>
      <c r="Y68" s="42" t="b">
        <v>0</v>
      </c>
      <c r="Z68" s="43"/>
      <c r="AA68" s="30"/>
      <c r="AB68" s="42" t="b">
        <v>0</v>
      </c>
      <c r="AC68" s="43"/>
      <c r="AD68" s="30"/>
      <c r="AE68" s="42" t="b">
        <v>0</v>
      </c>
      <c r="AF68" s="43"/>
      <c r="AG68" s="30"/>
      <c r="AH68" s="42" t="b">
        <v>0</v>
      </c>
      <c r="AI68" s="43"/>
      <c r="AJ68" s="30"/>
      <c r="AK68" s="42" t="b">
        <v>0</v>
      </c>
      <c r="AL68" s="43"/>
      <c r="AM68" s="30"/>
      <c r="AN68" s="48" t="b">
        <v>0</v>
      </c>
    </row>
    <row r="69" spans="1:40" ht="14" x14ac:dyDescent="0.15">
      <c r="A69" s="65" t="s">
        <v>247</v>
      </c>
      <c r="B69" s="66" t="s">
        <v>273</v>
      </c>
      <c r="C69" s="67" t="s">
        <v>274</v>
      </c>
      <c r="D69" s="45" t="s">
        <v>316</v>
      </c>
      <c r="E69" s="36">
        <f t="shared" si="0"/>
        <v>0</v>
      </c>
      <c r="F69" s="37">
        <f t="shared" si="1"/>
        <v>0</v>
      </c>
      <c r="G69" s="37">
        <f t="shared" si="2"/>
        <v>0</v>
      </c>
      <c r="H69" s="38">
        <f t="shared" si="3"/>
        <v>0</v>
      </c>
      <c r="I69" s="39">
        <f t="shared" si="6"/>
        <v>0</v>
      </c>
      <c r="J69" s="40">
        <f t="shared" si="4"/>
        <v>0</v>
      </c>
      <c r="K69" s="41"/>
      <c r="L69" s="30"/>
      <c r="M69" s="42" t="b">
        <v>0</v>
      </c>
      <c r="N69" s="43"/>
      <c r="O69" s="30"/>
      <c r="P69" s="42" t="b">
        <v>0</v>
      </c>
      <c r="Q69" s="43"/>
      <c r="R69" s="30"/>
      <c r="S69" s="42" t="b">
        <v>0</v>
      </c>
      <c r="T69" s="43"/>
      <c r="U69" s="30"/>
      <c r="V69" s="42" t="b">
        <v>0</v>
      </c>
      <c r="W69" s="43"/>
      <c r="X69" s="30"/>
      <c r="Y69" s="42" t="b">
        <v>0</v>
      </c>
      <c r="Z69" s="43"/>
      <c r="AA69" s="30"/>
      <c r="AB69" s="42" t="b">
        <v>0</v>
      </c>
      <c r="AC69" s="43"/>
      <c r="AD69" s="30"/>
      <c r="AE69" s="42" t="b">
        <v>0</v>
      </c>
      <c r="AF69" s="43"/>
      <c r="AG69" s="30"/>
      <c r="AH69" s="42" t="b">
        <v>0</v>
      </c>
      <c r="AI69" s="43"/>
      <c r="AJ69" s="30"/>
      <c r="AK69" s="42" t="b">
        <v>0</v>
      </c>
      <c r="AL69" s="43"/>
      <c r="AM69" s="30"/>
      <c r="AN69" s="48" t="b">
        <v>0</v>
      </c>
    </row>
    <row r="70" spans="1:40" ht="14" x14ac:dyDescent="0.15">
      <c r="A70" s="65" t="s">
        <v>247</v>
      </c>
      <c r="B70" s="66" t="s">
        <v>275</v>
      </c>
      <c r="C70" s="67" t="s">
        <v>276</v>
      </c>
      <c r="D70" s="45" t="s">
        <v>316</v>
      </c>
      <c r="E70" s="36">
        <f t="shared" si="0"/>
        <v>0</v>
      </c>
      <c r="F70" s="37">
        <f t="shared" si="1"/>
        <v>0</v>
      </c>
      <c r="G70" s="37">
        <f t="shared" si="2"/>
        <v>0</v>
      </c>
      <c r="H70" s="38">
        <f t="shared" si="3"/>
        <v>0</v>
      </c>
      <c r="I70" s="39">
        <f t="shared" si="6"/>
        <v>0</v>
      </c>
      <c r="J70" s="40">
        <f t="shared" si="4"/>
        <v>0</v>
      </c>
      <c r="K70" s="41"/>
      <c r="L70" s="30"/>
      <c r="M70" s="42" t="b">
        <v>0</v>
      </c>
      <c r="N70" s="43"/>
      <c r="O70" s="30"/>
      <c r="P70" s="42" t="b">
        <v>0</v>
      </c>
      <c r="Q70" s="43"/>
      <c r="R70" s="30"/>
      <c r="S70" s="42" t="b">
        <v>0</v>
      </c>
      <c r="T70" s="43"/>
      <c r="U70" s="30"/>
      <c r="V70" s="42" t="b">
        <v>0</v>
      </c>
      <c r="W70" s="43"/>
      <c r="X70" s="30"/>
      <c r="Y70" s="42" t="b">
        <v>0</v>
      </c>
      <c r="Z70" s="43"/>
      <c r="AA70" s="30"/>
      <c r="AB70" s="42" t="b">
        <v>0</v>
      </c>
      <c r="AC70" s="43"/>
      <c r="AD70" s="30"/>
      <c r="AE70" s="42" t="b">
        <v>0</v>
      </c>
      <c r="AF70" s="43"/>
      <c r="AG70" s="30"/>
      <c r="AH70" s="42" t="b">
        <v>0</v>
      </c>
      <c r="AI70" s="43"/>
      <c r="AJ70" s="30"/>
      <c r="AK70" s="42" t="b">
        <v>0</v>
      </c>
      <c r="AL70" s="43"/>
      <c r="AM70" s="30"/>
      <c r="AN70" s="48" t="b">
        <v>0</v>
      </c>
    </row>
    <row r="71" spans="1:40" ht="14" x14ac:dyDescent="0.15">
      <c r="A71" s="65" t="s">
        <v>247</v>
      </c>
      <c r="B71" s="66" t="s">
        <v>277</v>
      </c>
      <c r="C71" s="67" t="s">
        <v>278</v>
      </c>
      <c r="D71" s="45" t="s">
        <v>316</v>
      </c>
      <c r="E71" s="36">
        <f t="shared" si="0"/>
        <v>0</v>
      </c>
      <c r="F71" s="37">
        <f t="shared" si="1"/>
        <v>0</v>
      </c>
      <c r="G71" s="37">
        <f t="shared" si="2"/>
        <v>0</v>
      </c>
      <c r="H71" s="38">
        <f t="shared" si="3"/>
        <v>0</v>
      </c>
      <c r="I71" s="39">
        <f t="shared" si="6"/>
        <v>0</v>
      </c>
      <c r="J71" s="40">
        <f t="shared" si="4"/>
        <v>0</v>
      </c>
      <c r="K71" s="41"/>
      <c r="L71" s="30"/>
      <c r="M71" s="42" t="b">
        <v>0</v>
      </c>
      <c r="N71" s="43"/>
      <c r="O71" s="30"/>
      <c r="P71" s="42" t="b">
        <v>0</v>
      </c>
      <c r="Q71" s="43"/>
      <c r="R71" s="30"/>
      <c r="S71" s="42" t="b">
        <v>0</v>
      </c>
      <c r="T71" s="43"/>
      <c r="U71" s="30"/>
      <c r="V71" s="42" t="b">
        <v>0</v>
      </c>
      <c r="W71" s="43"/>
      <c r="X71" s="30"/>
      <c r="Y71" s="42" t="b">
        <v>0</v>
      </c>
      <c r="Z71" s="43"/>
      <c r="AA71" s="30"/>
      <c r="AB71" s="42" t="b">
        <v>0</v>
      </c>
      <c r="AC71" s="43"/>
      <c r="AD71" s="30"/>
      <c r="AE71" s="42" t="b">
        <v>0</v>
      </c>
      <c r="AF71" s="43"/>
      <c r="AG71" s="30"/>
      <c r="AH71" s="42" t="b">
        <v>0</v>
      </c>
      <c r="AI71" s="43"/>
      <c r="AJ71" s="30"/>
      <c r="AK71" s="42" t="b">
        <v>0</v>
      </c>
      <c r="AL71" s="43"/>
      <c r="AM71" s="30"/>
      <c r="AN71" s="48" t="b">
        <v>0</v>
      </c>
    </row>
    <row r="72" spans="1:40" ht="14" x14ac:dyDescent="0.15">
      <c r="A72" s="65" t="s">
        <v>247</v>
      </c>
      <c r="B72" s="66" t="s">
        <v>279</v>
      </c>
      <c r="C72" s="67" t="s">
        <v>280</v>
      </c>
      <c r="D72" s="45" t="s">
        <v>316</v>
      </c>
      <c r="E72" s="36">
        <f t="shared" si="0"/>
        <v>0</v>
      </c>
      <c r="F72" s="37">
        <f t="shared" si="1"/>
        <v>0</v>
      </c>
      <c r="G72" s="37">
        <f t="shared" si="2"/>
        <v>0</v>
      </c>
      <c r="H72" s="38">
        <f t="shared" si="3"/>
        <v>0</v>
      </c>
      <c r="I72" s="39">
        <f t="shared" si="6"/>
        <v>0</v>
      </c>
      <c r="J72" s="40">
        <f t="shared" si="4"/>
        <v>0</v>
      </c>
      <c r="K72" s="41"/>
      <c r="L72" s="30"/>
      <c r="M72" s="42" t="b">
        <v>0</v>
      </c>
      <c r="N72" s="43"/>
      <c r="O72" s="30"/>
      <c r="P72" s="42" t="b">
        <v>0</v>
      </c>
      <c r="Q72" s="43"/>
      <c r="R72" s="30"/>
      <c r="S72" s="42" t="b">
        <v>0</v>
      </c>
      <c r="T72" s="43"/>
      <c r="U72" s="30"/>
      <c r="V72" s="42" t="b">
        <v>0</v>
      </c>
      <c r="W72" s="43"/>
      <c r="X72" s="30"/>
      <c r="Y72" s="42" t="b">
        <v>0</v>
      </c>
      <c r="Z72" s="43"/>
      <c r="AA72" s="30"/>
      <c r="AB72" s="42" t="b">
        <v>0</v>
      </c>
      <c r="AC72" s="43"/>
      <c r="AD72" s="30"/>
      <c r="AE72" s="42" t="b">
        <v>0</v>
      </c>
      <c r="AF72" s="43"/>
      <c r="AG72" s="30"/>
      <c r="AH72" s="42" t="b">
        <v>0</v>
      </c>
      <c r="AI72" s="43"/>
      <c r="AJ72" s="30"/>
      <c r="AK72" s="42" t="b">
        <v>0</v>
      </c>
      <c r="AL72" s="43"/>
      <c r="AM72" s="30"/>
      <c r="AN72" s="48" t="b">
        <v>0</v>
      </c>
    </row>
    <row r="73" spans="1:40" ht="14" x14ac:dyDescent="0.15">
      <c r="A73" s="65" t="s">
        <v>247</v>
      </c>
      <c r="B73" s="66" t="s">
        <v>281</v>
      </c>
      <c r="C73" s="67" t="s">
        <v>282</v>
      </c>
      <c r="D73" s="45" t="s">
        <v>316</v>
      </c>
      <c r="E73" s="36">
        <f t="shared" si="0"/>
        <v>0</v>
      </c>
      <c r="F73" s="37">
        <f t="shared" si="1"/>
        <v>0</v>
      </c>
      <c r="G73" s="37">
        <f t="shared" si="2"/>
        <v>0</v>
      </c>
      <c r="H73" s="38">
        <f t="shared" si="3"/>
        <v>0</v>
      </c>
      <c r="I73" s="39">
        <f t="shared" si="6"/>
        <v>0</v>
      </c>
      <c r="J73" s="40">
        <f t="shared" si="4"/>
        <v>0</v>
      </c>
      <c r="K73" s="41"/>
      <c r="L73" s="30"/>
      <c r="M73" s="42" t="b">
        <v>0</v>
      </c>
      <c r="N73" s="43"/>
      <c r="O73" s="30"/>
      <c r="P73" s="42" t="b">
        <v>0</v>
      </c>
      <c r="Q73" s="43"/>
      <c r="R73" s="30"/>
      <c r="S73" s="42" t="b">
        <v>0</v>
      </c>
      <c r="T73" s="43"/>
      <c r="U73" s="30"/>
      <c r="V73" s="42" t="b">
        <v>0</v>
      </c>
      <c r="W73" s="43"/>
      <c r="X73" s="30"/>
      <c r="Y73" s="42" t="b">
        <v>0</v>
      </c>
      <c r="Z73" s="43"/>
      <c r="AA73" s="30"/>
      <c r="AB73" s="42" t="b">
        <v>0</v>
      </c>
      <c r="AC73" s="43"/>
      <c r="AD73" s="30"/>
      <c r="AE73" s="42" t="b">
        <v>0</v>
      </c>
      <c r="AF73" s="43"/>
      <c r="AG73" s="30"/>
      <c r="AH73" s="42" t="b">
        <v>0</v>
      </c>
      <c r="AI73" s="43"/>
      <c r="AJ73" s="30"/>
      <c r="AK73" s="42" t="b">
        <v>0</v>
      </c>
      <c r="AL73" s="43"/>
      <c r="AM73" s="30"/>
      <c r="AN73" s="48" t="b">
        <v>0</v>
      </c>
    </row>
    <row r="74" spans="1:40" ht="14" x14ac:dyDescent="0.15">
      <c r="A74" s="65" t="s">
        <v>247</v>
      </c>
      <c r="B74" s="66" t="s">
        <v>283</v>
      </c>
      <c r="C74" s="67" t="s">
        <v>284</v>
      </c>
      <c r="D74" s="45" t="s">
        <v>316</v>
      </c>
      <c r="E74" s="36">
        <f t="shared" si="0"/>
        <v>0</v>
      </c>
      <c r="F74" s="37">
        <f t="shared" si="1"/>
        <v>0</v>
      </c>
      <c r="G74" s="37">
        <f t="shared" si="2"/>
        <v>0</v>
      </c>
      <c r="H74" s="38">
        <f t="shared" si="3"/>
        <v>0</v>
      </c>
      <c r="I74" s="39">
        <f t="shared" si="6"/>
        <v>0</v>
      </c>
      <c r="J74" s="40">
        <f t="shared" si="4"/>
        <v>0</v>
      </c>
      <c r="K74" s="41"/>
      <c r="L74" s="30"/>
      <c r="M74" s="42" t="b">
        <v>0</v>
      </c>
      <c r="N74" s="43"/>
      <c r="O74" s="30"/>
      <c r="P74" s="42" t="b">
        <v>0</v>
      </c>
      <c r="Q74" s="43"/>
      <c r="R74" s="30"/>
      <c r="S74" s="42" t="b">
        <v>0</v>
      </c>
      <c r="T74" s="43"/>
      <c r="U74" s="30"/>
      <c r="V74" s="42" t="b">
        <v>0</v>
      </c>
      <c r="W74" s="43"/>
      <c r="X74" s="30"/>
      <c r="Y74" s="42" t="b">
        <v>0</v>
      </c>
      <c r="Z74" s="43"/>
      <c r="AA74" s="30"/>
      <c r="AB74" s="42" t="b">
        <v>0</v>
      </c>
      <c r="AC74" s="43"/>
      <c r="AD74" s="30"/>
      <c r="AE74" s="42" t="b">
        <v>0</v>
      </c>
      <c r="AF74" s="43"/>
      <c r="AG74" s="30"/>
      <c r="AH74" s="42" t="b">
        <v>0</v>
      </c>
      <c r="AI74" s="43"/>
      <c r="AJ74" s="30"/>
      <c r="AK74" s="42" t="b">
        <v>0</v>
      </c>
      <c r="AL74" s="43"/>
      <c r="AM74" s="30"/>
      <c r="AN74" s="48" t="b">
        <v>0</v>
      </c>
    </row>
    <row r="75" spans="1:40" ht="14" x14ac:dyDescent="0.15">
      <c r="A75" s="65" t="s">
        <v>247</v>
      </c>
      <c r="B75" s="66" t="s">
        <v>285</v>
      </c>
      <c r="C75" s="67" t="s">
        <v>286</v>
      </c>
      <c r="D75" s="45" t="s">
        <v>316</v>
      </c>
      <c r="E75" s="36">
        <f t="shared" si="0"/>
        <v>0</v>
      </c>
      <c r="F75" s="37">
        <f t="shared" si="1"/>
        <v>0</v>
      </c>
      <c r="G75" s="37">
        <f t="shared" si="2"/>
        <v>0</v>
      </c>
      <c r="H75" s="38">
        <f t="shared" si="3"/>
        <v>0</v>
      </c>
      <c r="I75" s="39">
        <f t="shared" si="6"/>
        <v>0</v>
      </c>
      <c r="J75" s="40">
        <f t="shared" si="4"/>
        <v>0</v>
      </c>
      <c r="K75" s="41"/>
      <c r="L75" s="30"/>
      <c r="M75" s="42" t="b">
        <v>0</v>
      </c>
      <c r="N75" s="43"/>
      <c r="O75" s="30"/>
      <c r="P75" s="42" t="b">
        <v>0</v>
      </c>
      <c r="Q75" s="43"/>
      <c r="R75" s="30"/>
      <c r="S75" s="42" t="b">
        <v>0</v>
      </c>
      <c r="T75" s="43"/>
      <c r="U75" s="30"/>
      <c r="V75" s="42" t="b">
        <v>0</v>
      </c>
      <c r="W75" s="43"/>
      <c r="X75" s="30"/>
      <c r="Y75" s="42" t="b">
        <v>0</v>
      </c>
      <c r="Z75" s="43"/>
      <c r="AA75" s="30"/>
      <c r="AB75" s="42" t="b">
        <v>0</v>
      </c>
      <c r="AC75" s="43"/>
      <c r="AD75" s="30"/>
      <c r="AE75" s="42" t="b">
        <v>0</v>
      </c>
      <c r="AF75" s="43"/>
      <c r="AG75" s="30"/>
      <c r="AH75" s="42" t="b">
        <v>0</v>
      </c>
      <c r="AI75" s="43"/>
      <c r="AJ75" s="30"/>
      <c r="AK75" s="42" t="b">
        <v>0</v>
      </c>
      <c r="AL75" s="43"/>
      <c r="AM75" s="30"/>
      <c r="AN75" s="48" t="b">
        <v>0</v>
      </c>
    </row>
    <row r="76" spans="1:40" ht="14" x14ac:dyDescent="0.15">
      <c r="A76" s="65" t="s">
        <v>247</v>
      </c>
      <c r="B76" s="66" t="s">
        <v>287</v>
      </c>
      <c r="C76" s="67" t="s">
        <v>288</v>
      </c>
      <c r="D76" s="45" t="s">
        <v>316</v>
      </c>
      <c r="E76" s="36">
        <f t="shared" si="0"/>
        <v>0</v>
      </c>
      <c r="F76" s="37">
        <f t="shared" si="1"/>
        <v>0</v>
      </c>
      <c r="G76" s="37">
        <f t="shared" si="2"/>
        <v>0</v>
      </c>
      <c r="H76" s="38">
        <f t="shared" si="3"/>
        <v>0</v>
      </c>
      <c r="I76" s="39">
        <f t="shared" si="6"/>
        <v>0</v>
      </c>
      <c r="J76" s="40">
        <f t="shared" si="4"/>
        <v>0</v>
      </c>
      <c r="K76" s="41"/>
      <c r="L76" s="30"/>
      <c r="M76" s="42" t="b">
        <v>0</v>
      </c>
      <c r="N76" s="43"/>
      <c r="O76" s="30"/>
      <c r="P76" s="42" t="b">
        <v>0</v>
      </c>
      <c r="Q76" s="43"/>
      <c r="R76" s="30"/>
      <c r="S76" s="42" t="b">
        <v>0</v>
      </c>
      <c r="T76" s="43"/>
      <c r="U76" s="30"/>
      <c r="V76" s="42" t="b">
        <v>0</v>
      </c>
      <c r="W76" s="43"/>
      <c r="X76" s="30"/>
      <c r="Y76" s="42" t="b">
        <v>0</v>
      </c>
      <c r="Z76" s="43"/>
      <c r="AA76" s="30"/>
      <c r="AB76" s="42" t="b">
        <v>0</v>
      </c>
      <c r="AC76" s="43"/>
      <c r="AD76" s="30"/>
      <c r="AE76" s="42" t="b">
        <v>0</v>
      </c>
      <c r="AF76" s="43"/>
      <c r="AG76" s="30"/>
      <c r="AH76" s="42" t="b">
        <v>0</v>
      </c>
      <c r="AI76" s="43"/>
      <c r="AJ76" s="30"/>
      <c r="AK76" s="42" t="b">
        <v>0</v>
      </c>
      <c r="AL76" s="43"/>
      <c r="AM76" s="30"/>
      <c r="AN76" s="48" t="b">
        <v>0</v>
      </c>
    </row>
    <row r="77" spans="1:40" ht="14" x14ac:dyDescent="0.15">
      <c r="A77" s="65" t="s">
        <v>247</v>
      </c>
      <c r="B77" s="66" t="s">
        <v>289</v>
      </c>
      <c r="C77" s="67" t="s">
        <v>290</v>
      </c>
      <c r="D77" s="45" t="s">
        <v>316</v>
      </c>
      <c r="E77" s="36">
        <f t="shared" si="0"/>
        <v>0</v>
      </c>
      <c r="F77" s="37">
        <f t="shared" si="1"/>
        <v>0</v>
      </c>
      <c r="G77" s="37">
        <f t="shared" si="2"/>
        <v>0</v>
      </c>
      <c r="H77" s="38">
        <f t="shared" si="3"/>
        <v>0</v>
      </c>
      <c r="I77" s="39">
        <f t="shared" si="6"/>
        <v>0</v>
      </c>
      <c r="J77" s="40">
        <f t="shared" si="4"/>
        <v>0</v>
      </c>
      <c r="K77" s="41"/>
      <c r="L77" s="30"/>
      <c r="M77" s="42" t="b">
        <v>0</v>
      </c>
      <c r="N77" s="43"/>
      <c r="O77" s="30"/>
      <c r="P77" s="42" t="b">
        <v>0</v>
      </c>
      <c r="Q77" s="43"/>
      <c r="R77" s="30"/>
      <c r="S77" s="42" t="b">
        <v>0</v>
      </c>
      <c r="T77" s="43"/>
      <c r="U77" s="30"/>
      <c r="V77" s="42" t="b">
        <v>0</v>
      </c>
      <c r="W77" s="43"/>
      <c r="X77" s="30"/>
      <c r="Y77" s="42" t="b">
        <v>0</v>
      </c>
      <c r="Z77" s="43"/>
      <c r="AA77" s="30"/>
      <c r="AB77" s="42" t="b">
        <v>0</v>
      </c>
      <c r="AC77" s="43"/>
      <c r="AD77" s="30"/>
      <c r="AE77" s="42" t="b">
        <v>0</v>
      </c>
      <c r="AF77" s="43"/>
      <c r="AG77" s="30"/>
      <c r="AH77" s="42" t="b">
        <v>0</v>
      </c>
      <c r="AI77" s="43"/>
      <c r="AJ77" s="30"/>
      <c r="AK77" s="42" t="b">
        <v>0</v>
      </c>
      <c r="AL77" s="43"/>
      <c r="AM77" s="30"/>
      <c r="AN77" s="48" t="b">
        <v>0</v>
      </c>
    </row>
    <row r="78" spans="1:40" ht="13" x14ac:dyDescent="0.15">
      <c r="A78" s="21"/>
      <c r="B78" s="34"/>
      <c r="C78" s="34"/>
      <c r="D78" s="45" t="s">
        <v>316</v>
      </c>
      <c r="E78" s="36">
        <f t="shared" si="0"/>
        <v>0</v>
      </c>
      <c r="F78" s="37">
        <f t="shared" si="1"/>
        <v>0</v>
      </c>
      <c r="G78" s="37">
        <f t="shared" si="2"/>
        <v>0</v>
      </c>
      <c r="H78" s="38">
        <f t="shared" si="3"/>
        <v>0</v>
      </c>
      <c r="I78" s="39">
        <f t="shared" si="6"/>
        <v>0</v>
      </c>
      <c r="J78" s="40">
        <f t="shared" si="4"/>
        <v>0</v>
      </c>
      <c r="K78" s="41"/>
      <c r="L78" s="30"/>
      <c r="M78" s="42" t="b">
        <v>0</v>
      </c>
      <c r="N78" s="43"/>
      <c r="O78" s="30"/>
      <c r="P78" s="42" t="b">
        <v>0</v>
      </c>
      <c r="Q78" s="43"/>
      <c r="R78" s="30"/>
      <c r="S78" s="42" t="b">
        <v>0</v>
      </c>
      <c r="T78" s="43"/>
      <c r="U78" s="30"/>
      <c r="V78" s="42" t="b">
        <v>0</v>
      </c>
      <c r="W78" s="43"/>
      <c r="X78" s="30"/>
      <c r="Y78" s="42" t="b">
        <v>0</v>
      </c>
      <c r="Z78" s="43"/>
      <c r="AA78" s="30"/>
      <c r="AB78" s="42" t="b">
        <v>0</v>
      </c>
      <c r="AC78" s="43"/>
      <c r="AD78" s="30"/>
      <c r="AE78" s="42" t="b">
        <v>0</v>
      </c>
      <c r="AF78" s="43"/>
      <c r="AG78" s="30"/>
      <c r="AH78" s="42" t="b">
        <v>0</v>
      </c>
      <c r="AI78" s="43"/>
      <c r="AJ78" s="30"/>
      <c r="AK78" s="42" t="b">
        <v>0</v>
      </c>
      <c r="AL78" s="43"/>
      <c r="AM78" s="30"/>
      <c r="AN78" s="48" t="b">
        <v>0</v>
      </c>
    </row>
    <row r="79" spans="1:40" ht="13" x14ac:dyDescent="0.15">
      <c r="A79" s="21"/>
      <c r="B79" s="34"/>
      <c r="C79" s="34"/>
      <c r="D79" s="45" t="s">
        <v>316</v>
      </c>
      <c r="E79" s="36">
        <f t="shared" si="0"/>
        <v>0</v>
      </c>
      <c r="F79" s="37">
        <f t="shared" si="1"/>
        <v>0</v>
      </c>
      <c r="G79" s="37">
        <f t="shared" si="2"/>
        <v>0</v>
      </c>
      <c r="H79" s="38">
        <f t="shared" si="3"/>
        <v>0</v>
      </c>
      <c r="I79" s="39">
        <f t="shared" si="6"/>
        <v>0</v>
      </c>
      <c r="J79" s="40">
        <f t="shared" si="4"/>
        <v>0</v>
      </c>
      <c r="K79" s="41"/>
      <c r="L79" s="30"/>
      <c r="M79" s="42" t="b">
        <v>0</v>
      </c>
      <c r="N79" s="43"/>
      <c r="O79" s="30"/>
      <c r="P79" s="42" t="b">
        <v>0</v>
      </c>
      <c r="Q79" s="43"/>
      <c r="R79" s="30"/>
      <c r="S79" s="42" t="b">
        <v>0</v>
      </c>
      <c r="T79" s="43"/>
      <c r="U79" s="30"/>
      <c r="V79" s="42" t="b">
        <v>0</v>
      </c>
      <c r="W79" s="43"/>
      <c r="X79" s="30"/>
      <c r="Y79" s="42" t="b">
        <v>0</v>
      </c>
      <c r="Z79" s="43"/>
      <c r="AA79" s="30"/>
      <c r="AB79" s="42" t="b">
        <v>0</v>
      </c>
      <c r="AC79" s="43"/>
      <c r="AD79" s="30"/>
      <c r="AE79" s="42" t="b">
        <v>0</v>
      </c>
      <c r="AF79" s="43"/>
      <c r="AG79" s="30"/>
      <c r="AH79" s="42" t="b">
        <v>0</v>
      </c>
      <c r="AI79" s="43"/>
      <c r="AJ79" s="30"/>
      <c r="AK79" s="42" t="b">
        <v>0</v>
      </c>
      <c r="AL79" s="43"/>
      <c r="AM79" s="30"/>
      <c r="AN79" s="48" t="b">
        <v>0</v>
      </c>
    </row>
    <row r="80" spans="1:40" ht="13" x14ac:dyDescent="0.15">
      <c r="A80" s="21"/>
      <c r="B80" s="34"/>
      <c r="C80" s="34"/>
      <c r="D80" s="45" t="s">
        <v>316</v>
      </c>
      <c r="E80" s="36">
        <f t="shared" si="0"/>
        <v>0</v>
      </c>
      <c r="F80" s="37">
        <f t="shared" si="1"/>
        <v>0</v>
      </c>
      <c r="G80" s="37">
        <f t="shared" si="2"/>
        <v>0</v>
      </c>
      <c r="H80" s="38">
        <f t="shared" si="3"/>
        <v>0</v>
      </c>
      <c r="I80" s="39">
        <f t="shared" si="6"/>
        <v>0</v>
      </c>
      <c r="J80" s="40">
        <f t="shared" si="4"/>
        <v>0</v>
      </c>
      <c r="K80" s="41"/>
      <c r="L80" s="30"/>
      <c r="M80" s="42" t="b">
        <v>0</v>
      </c>
      <c r="N80" s="43"/>
      <c r="O80" s="30"/>
      <c r="P80" s="42" t="b">
        <v>0</v>
      </c>
      <c r="Q80" s="43"/>
      <c r="R80" s="30"/>
      <c r="S80" s="42" t="b">
        <v>0</v>
      </c>
      <c r="T80" s="43"/>
      <c r="U80" s="30"/>
      <c r="V80" s="42" t="b">
        <v>0</v>
      </c>
      <c r="W80" s="43"/>
      <c r="X80" s="30"/>
      <c r="Y80" s="42" t="b">
        <v>0</v>
      </c>
      <c r="Z80" s="43"/>
      <c r="AA80" s="30"/>
      <c r="AB80" s="42" t="b">
        <v>0</v>
      </c>
      <c r="AC80" s="43"/>
      <c r="AD80" s="30"/>
      <c r="AE80" s="42" t="b">
        <v>0</v>
      </c>
      <c r="AF80" s="43"/>
      <c r="AG80" s="30"/>
      <c r="AH80" s="42" t="b">
        <v>0</v>
      </c>
      <c r="AI80" s="43"/>
      <c r="AJ80" s="30"/>
      <c r="AK80" s="42" t="b">
        <v>0</v>
      </c>
      <c r="AL80" s="43"/>
      <c r="AM80" s="30"/>
      <c r="AN80" s="48" t="b">
        <v>0</v>
      </c>
    </row>
    <row r="81" spans="1:40" ht="13" x14ac:dyDescent="0.15">
      <c r="A81" s="21"/>
      <c r="B81" s="34"/>
      <c r="C81" s="34"/>
      <c r="D81" s="45" t="s">
        <v>316</v>
      </c>
      <c r="E81" s="36">
        <f t="shared" si="0"/>
        <v>0</v>
      </c>
      <c r="F81" s="37">
        <f t="shared" si="1"/>
        <v>0</v>
      </c>
      <c r="G81" s="37">
        <f t="shared" si="2"/>
        <v>0</v>
      </c>
      <c r="H81" s="38">
        <f t="shared" si="3"/>
        <v>0</v>
      </c>
      <c r="I81" s="39">
        <f t="shared" si="6"/>
        <v>0</v>
      </c>
      <c r="J81" s="40">
        <f t="shared" si="4"/>
        <v>0</v>
      </c>
      <c r="K81" s="41"/>
      <c r="L81" s="30"/>
      <c r="M81" s="42" t="b">
        <v>0</v>
      </c>
      <c r="N81" s="43"/>
      <c r="O81" s="30"/>
      <c r="P81" s="42" t="b">
        <v>0</v>
      </c>
      <c r="Q81" s="43"/>
      <c r="R81" s="30"/>
      <c r="S81" s="42" t="b">
        <v>0</v>
      </c>
      <c r="T81" s="43"/>
      <c r="U81" s="30"/>
      <c r="V81" s="42" t="b">
        <v>0</v>
      </c>
      <c r="W81" s="43"/>
      <c r="X81" s="30"/>
      <c r="Y81" s="42" t="b">
        <v>0</v>
      </c>
      <c r="Z81" s="43"/>
      <c r="AA81" s="30"/>
      <c r="AB81" s="42" t="b">
        <v>0</v>
      </c>
      <c r="AC81" s="43"/>
      <c r="AD81" s="30"/>
      <c r="AE81" s="42" t="b">
        <v>0</v>
      </c>
      <c r="AF81" s="43"/>
      <c r="AG81" s="30"/>
      <c r="AH81" s="42" t="b">
        <v>0</v>
      </c>
      <c r="AI81" s="43"/>
      <c r="AJ81" s="30"/>
      <c r="AK81" s="42" t="b">
        <v>0</v>
      </c>
      <c r="AL81" s="43"/>
      <c r="AM81" s="30"/>
      <c r="AN81" s="48" t="b">
        <v>0</v>
      </c>
    </row>
    <row r="82" spans="1:40" ht="13" x14ac:dyDescent="0.15">
      <c r="A82" s="21"/>
      <c r="B82" s="34"/>
      <c r="C82" s="34"/>
      <c r="D82" s="45" t="s">
        <v>316</v>
      </c>
      <c r="E82" s="36">
        <f t="shared" si="0"/>
        <v>0</v>
      </c>
      <c r="F82" s="37">
        <f t="shared" si="1"/>
        <v>0</v>
      </c>
      <c r="G82" s="37">
        <f t="shared" si="2"/>
        <v>0</v>
      </c>
      <c r="H82" s="38">
        <f t="shared" si="3"/>
        <v>0</v>
      </c>
      <c r="I82" s="39">
        <f t="shared" si="6"/>
        <v>0</v>
      </c>
      <c r="J82" s="40">
        <f t="shared" si="4"/>
        <v>0</v>
      </c>
      <c r="K82" s="41"/>
      <c r="L82" s="30"/>
      <c r="M82" s="42" t="b">
        <v>0</v>
      </c>
      <c r="N82" s="43"/>
      <c r="O82" s="30"/>
      <c r="P82" s="42" t="b">
        <v>0</v>
      </c>
      <c r="Q82" s="43"/>
      <c r="R82" s="30"/>
      <c r="S82" s="42" t="b">
        <v>0</v>
      </c>
      <c r="T82" s="43"/>
      <c r="U82" s="30"/>
      <c r="V82" s="42" t="b">
        <v>0</v>
      </c>
      <c r="W82" s="43"/>
      <c r="X82" s="30"/>
      <c r="Y82" s="42" t="b">
        <v>0</v>
      </c>
      <c r="Z82" s="43"/>
      <c r="AA82" s="30"/>
      <c r="AB82" s="42" t="b">
        <v>0</v>
      </c>
      <c r="AC82" s="43"/>
      <c r="AD82" s="30"/>
      <c r="AE82" s="42" t="b">
        <v>0</v>
      </c>
      <c r="AF82" s="43"/>
      <c r="AG82" s="30"/>
      <c r="AH82" s="42" t="b">
        <v>0</v>
      </c>
      <c r="AI82" s="43"/>
      <c r="AJ82" s="30"/>
      <c r="AK82" s="42" t="b">
        <v>0</v>
      </c>
      <c r="AL82" s="43"/>
      <c r="AM82" s="30"/>
      <c r="AN82" s="48" t="b">
        <v>0</v>
      </c>
    </row>
    <row r="83" spans="1:40" ht="13" x14ac:dyDescent="0.15">
      <c r="A83" s="21"/>
      <c r="B83" s="34"/>
      <c r="C83" s="34"/>
      <c r="D83" s="45" t="s">
        <v>316</v>
      </c>
      <c r="E83" s="36">
        <f t="shared" si="0"/>
        <v>0</v>
      </c>
      <c r="F83" s="37">
        <f t="shared" si="1"/>
        <v>0</v>
      </c>
      <c r="G83" s="37">
        <f t="shared" si="2"/>
        <v>0</v>
      </c>
      <c r="H83" s="38">
        <f t="shared" si="3"/>
        <v>0</v>
      </c>
      <c r="I83" s="39">
        <f t="shared" si="6"/>
        <v>0</v>
      </c>
      <c r="J83" s="40">
        <f t="shared" si="4"/>
        <v>0</v>
      </c>
      <c r="K83" s="41"/>
      <c r="L83" s="30"/>
      <c r="M83" s="42" t="b">
        <v>0</v>
      </c>
      <c r="N83" s="43"/>
      <c r="O83" s="30"/>
      <c r="P83" s="42" t="b">
        <v>0</v>
      </c>
      <c r="Q83" s="43"/>
      <c r="R83" s="30"/>
      <c r="S83" s="42" t="b">
        <v>0</v>
      </c>
      <c r="T83" s="43"/>
      <c r="U83" s="30"/>
      <c r="V83" s="42" t="b">
        <v>0</v>
      </c>
      <c r="W83" s="43"/>
      <c r="X83" s="30"/>
      <c r="Y83" s="42" t="b">
        <v>0</v>
      </c>
      <c r="Z83" s="43"/>
      <c r="AA83" s="30"/>
      <c r="AB83" s="42" t="b">
        <v>0</v>
      </c>
      <c r="AC83" s="43"/>
      <c r="AD83" s="30"/>
      <c r="AE83" s="42" t="b">
        <v>0</v>
      </c>
      <c r="AF83" s="43"/>
      <c r="AG83" s="30"/>
      <c r="AH83" s="42" t="b">
        <v>0</v>
      </c>
      <c r="AI83" s="43"/>
      <c r="AJ83" s="30"/>
      <c r="AK83" s="42" t="b">
        <v>0</v>
      </c>
      <c r="AL83" s="43"/>
      <c r="AM83" s="30"/>
      <c r="AN83" s="48" t="b">
        <v>0</v>
      </c>
    </row>
    <row r="84" spans="1:40" ht="13" x14ac:dyDescent="0.15">
      <c r="A84" s="21"/>
      <c r="B84" s="34"/>
      <c r="C84" s="34"/>
      <c r="D84" s="45" t="s">
        <v>316</v>
      </c>
      <c r="E84" s="36">
        <f t="shared" si="0"/>
        <v>0</v>
      </c>
      <c r="F84" s="37">
        <f t="shared" si="1"/>
        <v>0</v>
      </c>
      <c r="G84" s="37">
        <f t="shared" si="2"/>
        <v>0</v>
      </c>
      <c r="H84" s="38">
        <f t="shared" si="3"/>
        <v>0</v>
      </c>
      <c r="I84" s="39">
        <f t="shared" si="6"/>
        <v>0</v>
      </c>
      <c r="J84" s="40">
        <f t="shared" si="4"/>
        <v>0</v>
      </c>
      <c r="K84" s="41"/>
      <c r="L84" s="30"/>
      <c r="M84" s="42" t="b">
        <v>0</v>
      </c>
      <c r="N84" s="43"/>
      <c r="O84" s="30"/>
      <c r="P84" s="42" t="b">
        <v>0</v>
      </c>
      <c r="Q84" s="43"/>
      <c r="R84" s="30"/>
      <c r="S84" s="42" t="b">
        <v>0</v>
      </c>
      <c r="T84" s="43"/>
      <c r="U84" s="30"/>
      <c r="V84" s="42" t="b">
        <v>0</v>
      </c>
      <c r="W84" s="43"/>
      <c r="X84" s="30"/>
      <c r="Y84" s="42" t="b">
        <v>0</v>
      </c>
      <c r="Z84" s="43"/>
      <c r="AA84" s="30"/>
      <c r="AB84" s="42" t="b">
        <v>0</v>
      </c>
      <c r="AC84" s="43"/>
      <c r="AD84" s="30"/>
      <c r="AE84" s="42" t="b">
        <v>0</v>
      </c>
      <c r="AF84" s="43"/>
      <c r="AG84" s="30"/>
      <c r="AH84" s="42" t="b">
        <v>0</v>
      </c>
      <c r="AI84" s="43"/>
      <c r="AJ84" s="30"/>
      <c r="AK84" s="42" t="b">
        <v>0</v>
      </c>
      <c r="AL84" s="43"/>
      <c r="AM84" s="30"/>
      <c r="AN84" s="48" t="b">
        <v>0</v>
      </c>
    </row>
    <row r="85" spans="1:40" ht="13" x14ac:dyDescent="0.15">
      <c r="A85" s="21"/>
      <c r="B85" s="34"/>
      <c r="C85" s="34"/>
      <c r="D85" s="45" t="s">
        <v>316</v>
      </c>
      <c r="E85" s="36">
        <f t="shared" si="0"/>
        <v>0</v>
      </c>
      <c r="F85" s="37">
        <f t="shared" si="1"/>
        <v>0</v>
      </c>
      <c r="G85" s="37">
        <f t="shared" si="2"/>
        <v>0</v>
      </c>
      <c r="H85" s="38">
        <f t="shared" si="3"/>
        <v>0</v>
      </c>
      <c r="I85" s="39">
        <f t="shared" si="6"/>
        <v>0</v>
      </c>
      <c r="J85" s="40">
        <f t="shared" si="4"/>
        <v>0</v>
      </c>
      <c r="K85" s="41"/>
      <c r="L85" s="30"/>
      <c r="M85" s="42" t="b">
        <v>0</v>
      </c>
      <c r="N85" s="43"/>
      <c r="O85" s="30"/>
      <c r="P85" s="42" t="b">
        <v>0</v>
      </c>
      <c r="Q85" s="43"/>
      <c r="R85" s="30"/>
      <c r="S85" s="42" t="b">
        <v>0</v>
      </c>
      <c r="T85" s="43"/>
      <c r="U85" s="30"/>
      <c r="V85" s="42" t="b">
        <v>0</v>
      </c>
      <c r="W85" s="43"/>
      <c r="X85" s="30"/>
      <c r="Y85" s="42" t="b">
        <v>0</v>
      </c>
      <c r="Z85" s="43"/>
      <c r="AA85" s="30"/>
      <c r="AB85" s="42" t="b">
        <v>0</v>
      </c>
      <c r="AC85" s="43"/>
      <c r="AD85" s="30"/>
      <c r="AE85" s="42" t="b">
        <v>0</v>
      </c>
      <c r="AF85" s="43"/>
      <c r="AG85" s="30"/>
      <c r="AH85" s="42" t="b">
        <v>0</v>
      </c>
      <c r="AI85" s="43"/>
      <c r="AJ85" s="30"/>
      <c r="AK85" s="42" t="b">
        <v>0</v>
      </c>
      <c r="AL85" s="43"/>
      <c r="AM85" s="30"/>
      <c r="AN85" s="48" t="b">
        <v>0</v>
      </c>
    </row>
  </sheetData>
  <customSheetViews>
    <customSheetView guid="{288B6905-A0AC-444D-99DA-8E8948982A32}" filter="1" showAutoFilter="1">
      <pageMargins left="0.7" right="0.7" top="0.75" bottom="0.75" header="0.3" footer="0.3"/>
      <autoFilter ref="A6:A44" xr:uid="{F37A7D6C-FCEF-B34D-BB65-FFD1523E6781}">
        <filterColumn colId="0">
          <filters>
            <filter val="CC1"/>
            <filter val="CC2"/>
            <filter val="CC3"/>
            <filter val="CC4"/>
            <filter val="CC5"/>
          </filters>
        </filterColumn>
      </autoFilter>
    </customSheetView>
  </customSheetViews>
  <mergeCells count="13">
    <mergeCell ref="AL5:AN5"/>
    <mergeCell ref="E5:H5"/>
    <mergeCell ref="I5:I6"/>
    <mergeCell ref="J5:J6"/>
    <mergeCell ref="K5:M5"/>
    <mergeCell ref="N5:P5"/>
    <mergeCell ref="Q5:S5"/>
    <mergeCell ref="T5:V5"/>
    <mergeCell ref="W5:Y5"/>
    <mergeCell ref="Z5:AB5"/>
    <mergeCell ref="AC5:AE5"/>
    <mergeCell ref="AF5:AH5"/>
    <mergeCell ref="AI5:AK5"/>
  </mergeCells>
  <conditionalFormatting sqref="F7:F85">
    <cfRule type="cellIs" dxfId="5" priority="1" operator="between">
      <formula>3</formula>
      <formula>4</formula>
    </cfRule>
    <cfRule type="cellIs" dxfId="4" priority="2" operator="between">
      <formula>1</formula>
      <formula>2</formula>
    </cfRule>
    <cfRule type="cellIs" dxfId="3" priority="3" operator="greaterThanOrEqual">
      <formula>5</formula>
    </cfRule>
  </conditionalFormatting>
  <dataValidations count="2">
    <dataValidation type="list" allowBlank="1" showErrorMessage="1" sqref="L7:L85 O7:O85 R7:R85 U7:U85 X7:X85 AA7:AA85 AD7:AD85 AG7:AG85 AJ7:AJ85 AM7:AM85" xr:uid="{00000000-0002-0000-0200-000000000000}">
      <formula1>"AJ,AI,AM,Ent,Cg"</formula1>
    </dataValidation>
    <dataValidation type="list" allowBlank="1" showErrorMessage="1" sqref="A7:A85" xr:uid="{00000000-0002-0000-0200-000001000000}">
      <formula1>"CC1,CC2,CC3,CC4,CC5,CC6"</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Q40"/>
  <sheetViews>
    <sheetView showGridLines="0" workbookViewId="0">
      <pane xSplit="10" ySplit="6" topLeftCell="K7" activePane="bottomRight" state="frozen"/>
      <selection pane="topRight" activeCell="K1" sqref="K1"/>
      <selection pane="bottomLeft" activeCell="A7" sqref="A7"/>
      <selection pane="bottomRight" activeCell="K7" sqref="K7"/>
    </sheetView>
  </sheetViews>
  <sheetFormatPr baseColWidth="10" defaultColWidth="12.6640625" defaultRowHeight="15.75" customHeight="1" x14ac:dyDescent="0.15"/>
  <cols>
    <col min="1" max="1" width="10.5" customWidth="1"/>
    <col min="2" max="2" width="17.33203125" customWidth="1"/>
    <col min="3" max="3" width="14.33203125" customWidth="1"/>
    <col min="4" max="4" width="6.5" customWidth="1"/>
    <col min="5" max="8" width="4.1640625" customWidth="1"/>
    <col min="9" max="9" width="5.6640625" customWidth="1"/>
    <col min="10" max="10" width="7.5" customWidth="1"/>
    <col min="11" max="11" width="10.6640625" customWidth="1"/>
    <col min="12" max="12" width="8.6640625" customWidth="1"/>
    <col min="13" max="14" width="10.6640625" customWidth="1"/>
    <col min="15" max="15" width="8.6640625" customWidth="1"/>
    <col min="16" max="17" width="10.6640625" customWidth="1"/>
    <col min="18" max="18" width="8.83203125" customWidth="1"/>
    <col min="19" max="19" width="10.6640625" customWidth="1"/>
    <col min="21" max="21" width="9.1640625" customWidth="1"/>
    <col min="24" max="24" width="9.6640625" customWidth="1"/>
    <col min="27" max="27" width="9.6640625" customWidth="1"/>
    <col min="30" max="30" width="10.1640625" customWidth="1"/>
    <col min="33" max="33" width="10.6640625" customWidth="1"/>
    <col min="36" max="36" width="10.33203125" customWidth="1"/>
    <col min="39" max="39" width="10.33203125" customWidth="1"/>
  </cols>
  <sheetData>
    <row r="1" spans="1:43" ht="22.5" customHeight="1" x14ac:dyDescent="0.15"/>
    <row r="2" spans="1:43" ht="16" x14ac:dyDescent="0.2">
      <c r="A2" s="1" t="s">
        <v>291</v>
      </c>
      <c r="C2" s="2">
        <v>490</v>
      </c>
    </row>
    <row r="5" spans="1:43" ht="13" x14ac:dyDescent="0.15">
      <c r="A5" s="3"/>
      <c r="B5" s="4"/>
      <c r="C5" s="3"/>
      <c r="D5" s="5"/>
      <c r="E5" s="74" t="s">
        <v>1</v>
      </c>
      <c r="F5" s="72"/>
      <c r="G5" s="72"/>
      <c r="H5" s="73"/>
      <c r="I5" s="75" t="s">
        <v>2</v>
      </c>
      <c r="J5" s="77" t="s">
        <v>3</v>
      </c>
      <c r="K5" s="74" t="s">
        <v>4</v>
      </c>
      <c r="L5" s="72"/>
      <c r="M5" s="73"/>
      <c r="N5" s="71" t="s">
        <v>5</v>
      </c>
      <c r="O5" s="72"/>
      <c r="P5" s="73"/>
      <c r="Q5" s="71" t="s">
        <v>6</v>
      </c>
      <c r="R5" s="72"/>
      <c r="S5" s="73"/>
      <c r="T5" s="71" t="s">
        <v>7</v>
      </c>
      <c r="U5" s="72"/>
      <c r="V5" s="73"/>
      <c r="W5" s="71" t="s">
        <v>8</v>
      </c>
      <c r="X5" s="72"/>
      <c r="Y5" s="73"/>
      <c r="Z5" s="71" t="s">
        <v>9</v>
      </c>
      <c r="AA5" s="72"/>
      <c r="AB5" s="73"/>
      <c r="AC5" s="71" t="s">
        <v>10</v>
      </c>
      <c r="AD5" s="72"/>
      <c r="AE5" s="73"/>
      <c r="AF5" s="71" t="s">
        <v>11</v>
      </c>
      <c r="AG5" s="72"/>
      <c r="AH5" s="73"/>
      <c r="AI5" s="71" t="s">
        <v>12</v>
      </c>
      <c r="AJ5" s="72"/>
      <c r="AK5" s="73"/>
      <c r="AL5" s="71" t="s">
        <v>13</v>
      </c>
      <c r="AM5" s="72"/>
      <c r="AN5" s="73"/>
      <c r="AO5" s="6"/>
      <c r="AP5" s="6"/>
      <c r="AQ5" s="6"/>
    </row>
    <row r="6" spans="1:43" ht="13" x14ac:dyDescent="0.15">
      <c r="A6" s="7" t="s">
        <v>14</v>
      </c>
      <c r="B6" s="8" t="s">
        <v>15</v>
      </c>
      <c r="C6" s="7" t="s">
        <v>16</v>
      </c>
      <c r="D6" s="9" t="s">
        <v>17</v>
      </c>
      <c r="E6" s="10" t="s">
        <v>18</v>
      </c>
      <c r="F6" s="11" t="s">
        <v>19</v>
      </c>
      <c r="G6" s="11" t="s">
        <v>20</v>
      </c>
      <c r="H6" s="12" t="s">
        <v>21</v>
      </c>
      <c r="I6" s="76"/>
      <c r="J6" s="76"/>
      <c r="K6" s="13" t="s">
        <v>22</v>
      </c>
      <c r="L6" s="14" t="s">
        <v>23</v>
      </c>
      <c r="M6" s="15" t="s">
        <v>24</v>
      </c>
      <c r="N6" s="16" t="s">
        <v>22</v>
      </c>
      <c r="O6" s="14" t="s">
        <v>23</v>
      </c>
      <c r="P6" s="15" t="s">
        <v>24</v>
      </c>
      <c r="Q6" s="16" t="s">
        <v>22</v>
      </c>
      <c r="R6" s="14" t="s">
        <v>23</v>
      </c>
      <c r="S6" s="17" t="s">
        <v>25</v>
      </c>
      <c r="T6" s="16" t="s">
        <v>22</v>
      </c>
      <c r="U6" s="14" t="s">
        <v>23</v>
      </c>
      <c r="V6" s="17" t="s">
        <v>25</v>
      </c>
      <c r="W6" s="16" t="s">
        <v>22</v>
      </c>
      <c r="X6" s="14" t="s">
        <v>23</v>
      </c>
      <c r="Y6" s="18" t="s">
        <v>26</v>
      </c>
      <c r="Z6" s="16" t="s">
        <v>22</v>
      </c>
      <c r="AA6" s="14" t="s">
        <v>23</v>
      </c>
      <c r="AB6" s="18" t="s">
        <v>26</v>
      </c>
      <c r="AC6" s="16" t="s">
        <v>22</v>
      </c>
      <c r="AD6" s="14" t="s">
        <v>23</v>
      </c>
      <c r="AE6" s="18" t="s">
        <v>26</v>
      </c>
      <c r="AF6" s="16" t="s">
        <v>22</v>
      </c>
      <c r="AG6" s="14" t="s">
        <v>23</v>
      </c>
      <c r="AH6" s="19" t="s">
        <v>27</v>
      </c>
      <c r="AI6" s="16" t="s">
        <v>22</v>
      </c>
      <c r="AJ6" s="14" t="s">
        <v>23</v>
      </c>
      <c r="AK6" s="19" t="s">
        <v>27</v>
      </c>
      <c r="AL6" s="16" t="s">
        <v>22</v>
      </c>
      <c r="AM6" s="14" t="s">
        <v>23</v>
      </c>
      <c r="AN6" s="19" t="s">
        <v>27</v>
      </c>
      <c r="AO6" s="20"/>
      <c r="AP6" s="20"/>
      <c r="AQ6" s="20"/>
    </row>
    <row r="7" spans="1:43" ht="13" hidden="1" x14ac:dyDescent="0.15">
      <c r="A7" s="21"/>
      <c r="B7" s="22"/>
      <c r="C7" s="22"/>
      <c r="D7" s="23"/>
      <c r="E7" s="24">
        <f t="shared" ref="E7:E34" si="0">COUNTIF(L7:AM7,"AJ")</f>
        <v>0</v>
      </c>
      <c r="F7" s="25">
        <f t="shared" ref="F7:F34" si="1">COUNTIF(L7:AN7,"AI")</f>
        <v>0</v>
      </c>
      <c r="G7" s="25">
        <f t="shared" ref="G7:G34" si="2">COUNTIF(L7:AO7,"AM")</f>
        <v>0</v>
      </c>
      <c r="H7" s="26">
        <f t="shared" ref="H7:H34" si="3">COUNTIF(O7:AP7,"Ent")</f>
        <v>0</v>
      </c>
      <c r="I7" s="27">
        <f>SUM(E7:H7)*7</f>
        <v>0</v>
      </c>
      <c r="J7" s="28">
        <f t="shared" ref="J7:J34" si="4">I7/$C$2</f>
        <v>0</v>
      </c>
      <c r="K7" s="29"/>
      <c r="L7" s="30"/>
      <c r="M7" s="31" t="b">
        <v>0</v>
      </c>
      <c r="N7" s="32"/>
      <c r="O7" s="30"/>
      <c r="P7" s="31" t="b">
        <v>0</v>
      </c>
      <c r="Q7" s="32"/>
      <c r="R7" s="30"/>
      <c r="S7" s="31" t="b">
        <v>0</v>
      </c>
      <c r="T7" s="32"/>
      <c r="U7" s="30"/>
      <c r="V7" s="31" t="b">
        <v>0</v>
      </c>
      <c r="W7" s="32"/>
      <c r="X7" s="30"/>
      <c r="Y7" s="31" t="b">
        <v>0</v>
      </c>
      <c r="Z7" s="32"/>
      <c r="AA7" s="30"/>
      <c r="AB7" s="31" t="b">
        <v>0</v>
      </c>
      <c r="AC7" s="32"/>
      <c r="AD7" s="30"/>
      <c r="AE7" s="31" t="b">
        <v>0</v>
      </c>
      <c r="AF7" s="32"/>
      <c r="AG7" s="30"/>
      <c r="AH7" s="31" t="b">
        <v>0</v>
      </c>
      <c r="AI7" s="32"/>
      <c r="AJ7" s="30"/>
      <c r="AK7" s="31" t="b">
        <v>0</v>
      </c>
      <c r="AL7" s="32"/>
      <c r="AM7" s="30"/>
      <c r="AN7" s="49" t="b">
        <v>0</v>
      </c>
      <c r="AO7" s="20"/>
      <c r="AP7" s="20"/>
      <c r="AQ7" s="20"/>
    </row>
    <row r="8" spans="1:43" ht="13" hidden="1" x14ac:dyDescent="0.15">
      <c r="A8" s="21"/>
      <c r="B8" s="34"/>
      <c r="C8" s="34"/>
      <c r="D8" s="35"/>
      <c r="E8" s="36">
        <f t="shared" si="0"/>
        <v>0</v>
      </c>
      <c r="F8" s="37">
        <f t="shared" si="1"/>
        <v>0</v>
      </c>
      <c r="G8" s="37">
        <f t="shared" si="2"/>
        <v>0</v>
      </c>
      <c r="H8" s="38">
        <f t="shared" si="3"/>
        <v>0</v>
      </c>
      <c r="I8" s="39">
        <f t="shared" ref="I8:I16" si="5">SUM(E8:H8)</f>
        <v>0</v>
      </c>
      <c r="J8" s="40">
        <f t="shared" si="4"/>
        <v>0</v>
      </c>
      <c r="K8" s="41"/>
      <c r="L8" s="30"/>
      <c r="M8" s="42" t="b">
        <v>0</v>
      </c>
      <c r="N8" s="43"/>
      <c r="O8" s="30"/>
      <c r="P8" s="42" t="b">
        <v>0</v>
      </c>
      <c r="Q8" s="43"/>
      <c r="R8" s="30"/>
      <c r="S8" s="42" t="b">
        <v>0</v>
      </c>
      <c r="T8" s="43"/>
      <c r="U8" s="30"/>
      <c r="V8" s="42" t="b">
        <v>0</v>
      </c>
      <c r="W8" s="43"/>
      <c r="X8" s="30"/>
      <c r="Y8" s="42" t="b">
        <v>0</v>
      </c>
      <c r="Z8" s="43"/>
      <c r="AA8" s="30"/>
      <c r="AB8" s="42" t="b">
        <v>0</v>
      </c>
      <c r="AC8" s="43"/>
      <c r="AD8" s="30"/>
      <c r="AE8" s="42" t="b">
        <v>0</v>
      </c>
      <c r="AF8" s="43"/>
      <c r="AG8" s="30"/>
      <c r="AH8" s="42" t="b">
        <v>0</v>
      </c>
      <c r="AI8" s="43"/>
      <c r="AJ8" s="30"/>
      <c r="AK8" s="42" t="b">
        <v>0</v>
      </c>
      <c r="AL8" s="43"/>
      <c r="AM8" s="30"/>
      <c r="AN8" s="48" t="b">
        <v>0</v>
      </c>
      <c r="AO8" s="20"/>
      <c r="AP8" s="20"/>
      <c r="AQ8" s="20"/>
    </row>
    <row r="9" spans="1:43" ht="13" hidden="1" x14ac:dyDescent="0.15">
      <c r="A9" s="21"/>
      <c r="B9" s="34"/>
      <c r="C9" s="34"/>
      <c r="D9" s="35"/>
      <c r="E9" s="36">
        <f t="shared" si="0"/>
        <v>0</v>
      </c>
      <c r="F9" s="37">
        <f t="shared" si="1"/>
        <v>0</v>
      </c>
      <c r="G9" s="37">
        <f t="shared" si="2"/>
        <v>0</v>
      </c>
      <c r="H9" s="38">
        <f t="shared" si="3"/>
        <v>0</v>
      </c>
      <c r="I9" s="39">
        <f t="shared" si="5"/>
        <v>0</v>
      </c>
      <c r="J9" s="40">
        <f t="shared" si="4"/>
        <v>0</v>
      </c>
      <c r="K9" s="41"/>
      <c r="L9" s="30"/>
      <c r="M9" s="42" t="b">
        <v>0</v>
      </c>
      <c r="N9" s="43"/>
      <c r="O9" s="30"/>
      <c r="P9" s="42" t="b">
        <v>0</v>
      </c>
      <c r="Q9" s="43"/>
      <c r="R9" s="30"/>
      <c r="S9" s="42" t="b">
        <v>0</v>
      </c>
      <c r="T9" s="43"/>
      <c r="U9" s="30"/>
      <c r="V9" s="42" t="b">
        <v>0</v>
      </c>
      <c r="W9" s="43"/>
      <c r="X9" s="30"/>
      <c r="Y9" s="42" t="b">
        <v>0</v>
      </c>
      <c r="Z9" s="43"/>
      <c r="AA9" s="30"/>
      <c r="AB9" s="42" t="b">
        <v>0</v>
      </c>
      <c r="AC9" s="43"/>
      <c r="AD9" s="30"/>
      <c r="AE9" s="42" t="b">
        <v>0</v>
      </c>
      <c r="AF9" s="43"/>
      <c r="AG9" s="30"/>
      <c r="AH9" s="42" t="b">
        <v>0</v>
      </c>
      <c r="AI9" s="43"/>
      <c r="AJ9" s="30"/>
      <c r="AK9" s="42" t="b">
        <v>0</v>
      </c>
      <c r="AL9" s="43"/>
      <c r="AM9" s="30"/>
      <c r="AN9" s="48" t="b">
        <v>0</v>
      </c>
      <c r="AO9" s="20"/>
      <c r="AP9" s="20"/>
      <c r="AQ9" s="20"/>
    </row>
    <row r="10" spans="1:43" ht="13" hidden="1" x14ac:dyDescent="0.15">
      <c r="A10" s="21"/>
      <c r="B10" s="34"/>
      <c r="C10" s="34"/>
      <c r="D10" s="35"/>
      <c r="E10" s="36">
        <f t="shared" si="0"/>
        <v>0</v>
      </c>
      <c r="F10" s="37">
        <f t="shared" si="1"/>
        <v>0</v>
      </c>
      <c r="G10" s="37">
        <f t="shared" si="2"/>
        <v>0</v>
      </c>
      <c r="H10" s="38">
        <f t="shared" si="3"/>
        <v>0</v>
      </c>
      <c r="I10" s="39">
        <f t="shared" si="5"/>
        <v>0</v>
      </c>
      <c r="J10" s="40">
        <f t="shared" si="4"/>
        <v>0</v>
      </c>
      <c r="K10" s="41"/>
      <c r="L10" s="30"/>
      <c r="M10" s="42" t="b">
        <v>0</v>
      </c>
      <c r="N10" s="43"/>
      <c r="O10" s="30"/>
      <c r="P10" s="42" t="b">
        <v>0</v>
      </c>
      <c r="Q10" s="43"/>
      <c r="R10" s="30"/>
      <c r="S10" s="42" t="b">
        <v>0</v>
      </c>
      <c r="T10" s="43"/>
      <c r="U10" s="30"/>
      <c r="V10" s="42" t="b">
        <v>0</v>
      </c>
      <c r="W10" s="43"/>
      <c r="X10" s="30"/>
      <c r="Y10" s="42" t="b">
        <v>0</v>
      </c>
      <c r="Z10" s="43"/>
      <c r="AA10" s="30"/>
      <c r="AB10" s="42" t="b">
        <v>0</v>
      </c>
      <c r="AC10" s="43"/>
      <c r="AD10" s="30"/>
      <c r="AE10" s="42" t="b">
        <v>0</v>
      </c>
      <c r="AF10" s="43"/>
      <c r="AG10" s="30"/>
      <c r="AH10" s="42" t="b">
        <v>0</v>
      </c>
      <c r="AI10" s="43"/>
      <c r="AJ10" s="30"/>
      <c r="AK10" s="42" t="b">
        <v>0</v>
      </c>
      <c r="AL10" s="43"/>
      <c r="AM10" s="30"/>
      <c r="AN10" s="48" t="b">
        <v>0</v>
      </c>
      <c r="AO10" s="20"/>
      <c r="AP10" s="20"/>
      <c r="AQ10" s="20"/>
    </row>
    <row r="11" spans="1:43" ht="13" hidden="1" x14ac:dyDescent="0.15">
      <c r="A11" s="21"/>
      <c r="B11" s="34"/>
      <c r="C11" s="34"/>
      <c r="D11" s="35"/>
      <c r="E11" s="36">
        <f t="shared" si="0"/>
        <v>0</v>
      </c>
      <c r="F11" s="37">
        <f t="shared" si="1"/>
        <v>0</v>
      </c>
      <c r="G11" s="37">
        <f t="shared" si="2"/>
        <v>0</v>
      </c>
      <c r="H11" s="38">
        <f t="shared" si="3"/>
        <v>0</v>
      </c>
      <c r="I11" s="39">
        <f t="shared" si="5"/>
        <v>0</v>
      </c>
      <c r="J11" s="40">
        <f t="shared" si="4"/>
        <v>0</v>
      </c>
      <c r="K11" s="41"/>
      <c r="L11" s="30"/>
      <c r="M11" s="42" t="b">
        <v>0</v>
      </c>
      <c r="N11" s="43"/>
      <c r="O11" s="30"/>
      <c r="P11" s="42" t="b">
        <v>0</v>
      </c>
      <c r="Q11" s="43"/>
      <c r="R11" s="30"/>
      <c r="S11" s="42" t="b">
        <v>0</v>
      </c>
      <c r="T11" s="43"/>
      <c r="U11" s="30"/>
      <c r="V11" s="42" t="b">
        <v>0</v>
      </c>
      <c r="W11" s="43"/>
      <c r="X11" s="30"/>
      <c r="Y11" s="42" t="b">
        <v>0</v>
      </c>
      <c r="Z11" s="43"/>
      <c r="AA11" s="30"/>
      <c r="AB11" s="42" t="b">
        <v>0</v>
      </c>
      <c r="AC11" s="43"/>
      <c r="AD11" s="30"/>
      <c r="AE11" s="42" t="b">
        <v>0</v>
      </c>
      <c r="AF11" s="43"/>
      <c r="AG11" s="30"/>
      <c r="AH11" s="42" t="b">
        <v>0</v>
      </c>
      <c r="AI11" s="43"/>
      <c r="AJ11" s="30"/>
      <c r="AK11" s="42" t="b">
        <v>0</v>
      </c>
      <c r="AL11" s="43"/>
      <c r="AM11" s="30"/>
      <c r="AN11" s="48" t="b">
        <v>0</v>
      </c>
      <c r="AO11" s="20"/>
      <c r="AP11" s="20"/>
      <c r="AQ11" s="20"/>
    </row>
    <row r="12" spans="1:43" ht="13" hidden="1" x14ac:dyDescent="0.15">
      <c r="A12" s="21"/>
      <c r="B12" s="34"/>
      <c r="C12" s="34"/>
      <c r="D12" s="35"/>
      <c r="E12" s="36">
        <f t="shared" si="0"/>
        <v>0</v>
      </c>
      <c r="F12" s="37">
        <f t="shared" si="1"/>
        <v>0</v>
      </c>
      <c r="G12" s="37">
        <f t="shared" si="2"/>
        <v>0</v>
      </c>
      <c r="H12" s="38">
        <f t="shared" si="3"/>
        <v>0</v>
      </c>
      <c r="I12" s="39">
        <f t="shared" si="5"/>
        <v>0</v>
      </c>
      <c r="J12" s="40">
        <f t="shared" si="4"/>
        <v>0</v>
      </c>
      <c r="K12" s="41"/>
      <c r="L12" s="30"/>
      <c r="M12" s="42" t="b">
        <v>0</v>
      </c>
      <c r="N12" s="43"/>
      <c r="O12" s="30"/>
      <c r="P12" s="42" t="b">
        <v>0</v>
      </c>
      <c r="Q12" s="43"/>
      <c r="R12" s="30"/>
      <c r="S12" s="42" t="b">
        <v>0</v>
      </c>
      <c r="T12" s="43"/>
      <c r="U12" s="30"/>
      <c r="V12" s="42" t="b">
        <v>0</v>
      </c>
      <c r="W12" s="43"/>
      <c r="X12" s="30"/>
      <c r="Y12" s="42" t="b">
        <v>0</v>
      </c>
      <c r="Z12" s="43"/>
      <c r="AA12" s="30"/>
      <c r="AB12" s="42" t="b">
        <v>0</v>
      </c>
      <c r="AC12" s="43"/>
      <c r="AD12" s="30"/>
      <c r="AE12" s="42" t="b">
        <v>0</v>
      </c>
      <c r="AF12" s="43"/>
      <c r="AG12" s="30"/>
      <c r="AH12" s="42" t="b">
        <v>0</v>
      </c>
      <c r="AI12" s="43"/>
      <c r="AJ12" s="30"/>
      <c r="AK12" s="42" t="b">
        <v>0</v>
      </c>
      <c r="AL12" s="43"/>
      <c r="AM12" s="30"/>
      <c r="AN12" s="48" t="b">
        <v>0</v>
      </c>
      <c r="AO12" s="20"/>
      <c r="AP12" s="20"/>
      <c r="AQ12" s="20"/>
    </row>
    <row r="13" spans="1:43" ht="13" hidden="1" x14ac:dyDescent="0.15">
      <c r="A13" s="21"/>
      <c r="B13" s="34"/>
      <c r="C13" s="34"/>
      <c r="D13" s="35"/>
      <c r="E13" s="36">
        <f t="shared" si="0"/>
        <v>0</v>
      </c>
      <c r="F13" s="37">
        <f t="shared" si="1"/>
        <v>0</v>
      </c>
      <c r="G13" s="37">
        <f t="shared" si="2"/>
        <v>0</v>
      </c>
      <c r="H13" s="38">
        <f t="shared" si="3"/>
        <v>0</v>
      </c>
      <c r="I13" s="39">
        <f t="shared" si="5"/>
        <v>0</v>
      </c>
      <c r="J13" s="40">
        <f t="shared" si="4"/>
        <v>0</v>
      </c>
      <c r="K13" s="41"/>
      <c r="L13" s="30"/>
      <c r="M13" s="42" t="b">
        <v>0</v>
      </c>
      <c r="N13" s="43"/>
      <c r="O13" s="30"/>
      <c r="P13" s="42" t="b">
        <v>0</v>
      </c>
      <c r="Q13" s="43"/>
      <c r="R13" s="30"/>
      <c r="S13" s="42" t="b">
        <v>0</v>
      </c>
      <c r="T13" s="43"/>
      <c r="U13" s="30"/>
      <c r="V13" s="42" t="b">
        <v>0</v>
      </c>
      <c r="W13" s="43"/>
      <c r="X13" s="30"/>
      <c r="Y13" s="42" t="b">
        <v>0</v>
      </c>
      <c r="Z13" s="43"/>
      <c r="AA13" s="30"/>
      <c r="AB13" s="42" t="b">
        <v>0</v>
      </c>
      <c r="AC13" s="43"/>
      <c r="AD13" s="30"/>
      <c r="AE13" s="42" t="b">
        <v>0</v>
      </c>
      <c r="AF13" s="43"/>
      <c r="AG13" s="30"/>
      <c r="AH13" s="42" t="b">
        <v>0</v>
      </c>
      <c r="AI13" s="43"/>
      <c r="AJ13" s="30"/>
      <c r="AK13" s="42" t="b">
        <v>0</v>
      </c>
      <c r="AL13" s="43"/>
      <c r="AM13" s="30"/>
      <c r="AN13" s="48" t="b">
        <v>0</v>
      </c>
      <c r="AO13" s="20"/>
      <c r="AP13" s="20"/>
      <c r="AQ13" s="20"/>
    </row>
    <row r="14" spans="1:43" ht="13" hidden="1" x14ac:dyDescent="0.15">
      <c r="A14" s="21"/>
      <c r="B14" s="34"/>
      <c r="C14" s="34"/>
      <c r="D14" s="35"/>
      <c r="E14" s="36">
        <f t="shared" si="0"/>
        <v>0</v>
      </c>
      <c r="F14" s="37">
        <f t="shared" si="1"/>
        <v>0</v>
      </c>
      <c r="G14" s="37">
        <f t="shared" si="2"/>
        <v>0</v>
      </c>
      <c r="H14" s="38">
        <f t="shared" si="3"/>
        <v>0</v>
      </c>
      <c r="I14" s="39">
        <f t="shared" si="5"/>
        <v>0</v>
      </c>
      <c r="J14" s="40">
        <f t="shared" si="4"/>
        <v>0</v>
      </c>
      <c r="K14" s="41"/>
      <c r="L14" s="30"/>
      <c r="M14" s="42" t="b">
        <v>0</v>
      </c>
      <c r="N14" s="43"/>
      <c r="O14" s="30"/>
      <c r="P14" s="42" t="b">
        <v>0</v>
      </c>
      <c r="Q14" s="43"/>
      <c r="R14" s="30"/>
      <c r="S14" s="42" t="b">
        <v>0</v>
      </c>
      <c r="T14" s="43"/>
      <c r="U14" s="30"/>
      <c r="V14" s="42" t="b">
        <v>0</v>
      </c>
      <c r="W14" s="43"/>
      <c r="X14" s="30"/>
      <c r="Y14" s="42" t="b">
        <v>0</v>
      </c>
      <c r="Z14" s="43"/>
      <c r="AA14" s="30"/>
      <c r="AB14" s="42" t="b">
        <v>0</v>
      </c>
      <c r="AC14" s="43"/>
      <c r="AD14" s="30"/>
      <c r="AE14" s="42" t="b">
        <v>0</v>
      </c>
      <c r="AF14" s="43"/>
      <c r="AG14" s="30"/>
      <c r="AH14" s="42" t="b">
        <v>0</v>
      </c>
      <c r="AI14" s="43"/>
      <c r="AJ14" s="30"/>
      <c r="AK14" s="42" t="b">
        <v>0</v>
      </c>
      <c r="AL14" s="43"/>
      <c r="AM14" s="30"/>
      <c r="AN14" s="48" t="b">
        <v>0</v>
      </c>
      <c r="AO14" s="20"/>
      <c r="AP14" s="20"/>
      <c r="AQ14" s="20"/>
    </row>
    <row r="15" spans="1:43" ht="13" hidden="1" x14ac:dyDescent="0.15">
      <c r="A15" s="21"/>
      <c r="B15" s="34"/>
      <c r="C15" s="34"/>
      <c r="D15" s="35"/>
      <c r="E15" s="36">
        <f t="shared" si="0"/>
        <v>0</v>
      </c>
      <c r="F15" s="37">
        <f t="shared" si="1"/>
        <v>0</v>
      </c>
      <c r="G15" s="37">
        <f t="shared" si="2"/>
        <v>0</v>
      </c>
      <c r="H15" s="38">
        <f t="shared" si="3"/>
        <v>0</v>
      </c>
      <c r="I15" s="39">
        <f t="shared" si="5"/>
        <v>0</v>
      </c>
      <c r="J15" s="40">
        <f t="shared" si="4"/>
        <v>0</v>
      </c>
      <c r="K15" s="41"/>
      <c r="L15" s="30"/>
      <c r="M15" s="42" t="b">
        <v>0</v>
      </c>
      <c r="N15" s="43"/>
      <c r="O15" s="30"/>
      <c r="P15" s="42" t="b">
        <v>0</v>
      </c>
      <c r="Q15" s="43"/>
      <c r="R15" s="30"/>
      <c r="S15" s="42" t="b">
        <v>0</v>
      </c>
      <c r="T15" s="43"/>
      <c r="U15" s="30"/>
      <c r="V15" s="42" t="b">
        <v>0</v>
      </c>
      <c r="W15" s="43"/>
      <c r="X15" s="30"/>
      <c r="Y15" s="42" t="b">
        <v>0</v>
      </c>
      <c r="Z15" s="43"/>
      <c r="AA15" s="30"/>
      <c r="AB15" s="42" t="b">
        <v>0</v>
      </c>
      <c r="AC15" s="43"/>
      <c r="AD15" s="30"/>
      <c r="AE15" s="42" t="b">
        <v>0</v>
      </c>
      <c r="AF15" s="43"/>
      <c r="AG15" s="30"/>
      <c r="AH15" s="42" t="b">
        <v>0</v>
      </c>
      <c r="AI15" s="43"/>
      <c r="AJ15" s="30"/>
      <c r="AK15" s="42" t="b">
        <v>0</v>
      </c>
      <c r="AL15" s="43"/>
      <c r="AM15" s="30"/>
      <c r="AN15" s="48" t="b">
        <v>0</v>
      </c>
      <c r="AO15" s="20"/>
      <c r="AP15" s="20"/>
      <c r="AQ15" s="20"/>
    </row>
    <row r="16" spans="1:43" ht="13" hidden="1" x14ac:dyDescent="0.15">
      <c r="A16" s="21"/>
      <c r="B16" s="34"/>
      <c r="C16" s="34"/>
      <c r="D16" s="35"/>
      <c r="E16" s="36">
        <f t="shared" si="0"/>
        <v>0</v>
      </c>
      <c r="F16" s="37">
        <f t="shared" si="1"/>
        <v>0</v>
      </c>
      <c r="G16" s="37">
        <f t="shared" si="2"/>
        <v>0</v>
      </c>
      <c r="H16" s="38">
        <f t="shared" si="3"/>
        <v>0</v>
      </c>
      <c r="I16" s="39">
        <f t="shared" si="5"/>
        <v>0</v>
      </c>
      <c r="J16" s="40">
        <f t="shared" si="4"/>
        <v>0</v>
      </c>
      <c r="K16" s="41"/>
      <c r="L16" s="30"/>
      <c r="M16" s="42" t="b">
        <v>0</v>
      </c>
      <c r="N16" s="43"/>
      <c r="O16" s="30"/>
      <c r="P16" s="42" t="b">
        <v>0</v>
      </c>
      <c r="Q16" s="43"/>
      <c r="R16" s="30"/>
      <c r="S16" s="42" t="b">
        <v>0</v>
      </c>
      <c r="T16" s="43"/>
      <c r="U16" s="30"/>
      <c r="V16" s="42" t="b">
        <v>0</v>
      </c>
      <c r="W16" s="43"/>
      <c r="X16" s="30"/>
      <c r="Y16" s="42" t="b">
        <v>0</v>
      </c>
      <c r="Z16" s="43"/>
      <c r="AA16" s="30"/>
      <c r="AB16" s="42" t="b">
        <v>0</v>
      </c>
      <c r="AC16" s="43"/>
      <c r="AD16" s="30"/>
      <c r="AE16" s="42" t="b">
        <v>0</v>
      </c>
      <c r="AF16" s="43"/>
      <c r="AG16" s="30"/>
      <c r="AH16" s="42" t="b">
        <v>0</v>
      </c>
      <c r="AI16" s="43"/>
      <c r="AJ16" s="30"/>
      <c r="AK16" s="42" t="b">
        <v>0</v>
      </c>
      <c r="AL16" s="43"/>
      <c r="AM16" s="30"/>
      <c r="AN16" s="48" t="b">
        <v>0</v>
      </c>
      <c r="AO16" s="20"/>
      <c r="AP16" s="20"/>
      <c r="AQ16" s="20"/>
    </row>
    <row r="17" spans="1:40" ht="13" x14ac:dyDescent="0.15">
      <c r="A17" s="21" t="s">
        <v>292</v>
      </c>
      <c r="B17" s="34" t="s">
        <v>293</v>
      </c>
      <c r="C17" s="34" t="s">
        <v>294</v>
      </c>
      <c r="D17" s="69" t="s">
        <v>347</v>
      </c>
      <c r="E17" s="36">
        <f t="shared" si="0"/>
        <v>0</v>
      </c>
      <c r="F17" s="37">
        <f t="shared" si="1"/>
        <v>2</v>
      </c>
      <c r="G17" s="37">
        <f t="shared" si="2"/>
        <v>1</v>
      </c>
      <c r="H17" s="38">
        <f t="shared" si="3"/>
        <v>0</v>
      </c>
      <c r="I17" s="39">
        <f t="shared" ref="I17:I34" si="6">SUM(E17:H17)*7</f>
        <v>21</v>
      </c>
      <c r="J17" s="40">
        <f t="shared" si="4"/>
        <v>4.2857142857142858E-2</v>
      </c>
      <c r="K17" s="46">
        <v>46042</v>
      </c>
      <c r="L17" s="30" t="s">
        <v>20</v>
      </c>
      <c r="M17" s="42" t="b">
        <v>1</v>
      </c>
      <c r="N17" s="47">
        <v>46119</v>
      </c>
      <c r="O17" s="30" t="s">
        <v>19</v>
      </c>
      <c r="P17" s="42" t="b">
        <v>0</v>
      </c>
      <c r="Q17" s="47">
        <v>46147</v>
      </c>
      <c r="R17" s="30" t="s">
        <v>19</v>
      </c>
      <c r="S17" s="42" t="b">
        <v>0</v>
      </c>
      <c r="T17" s="43"/>
      <c r="U17" s="30"/>
      <c r="V17" s="42" t="b">
        <v>0</v>
      </c>
      <c r="W17" s="43"/>
      <c r="X17" s="30"/>
      <c r="Y17" s="42" t="b">
        <v>0</v>
      </c>
      <c r="Z17" s="43"/>
      <c r="AA17" s="30"/>
      <c r="AB17" s="42" t="b">
        <v>0</v>
      </c>
      <c r="AC17" s="43"/>
      <c r="AD17" s="30"/>
      <c r="AE17" s="42" t="b">
        <v>0</v>
      </c>
      <c r="AF17" s="43"/>
      <c r="AG17" s="30"/>
      <c r="AH17" s="42" t="b">
        <v>0</v>
      </c>
      <c r="AI17" s="43"/>
      <c r="AJ17" s="30"/>
      <c r="AK17" s="42" t="b">
        <v>0</v>
      </c>
      <c r="AL17" s="43"/>
      <c r="AM17" s="30"/>
      <c r="AN17" s="48" t="b">
        <v>0</v>
      </c>
    </row>
    <row r="18" spans="1:40" ht="13" x14ac:dyDescent="0.15">
      <c r="A18" s="21" t="s">
        <v>292</v>
      </c>
      <c r="B18" s="34" t="s">
        <v>295</v>
      </c>
      <c r="C18" s="34" t="s">
        <v>296</v>
      </c>
      <c r="D18" s="69" t="s">
        <v>348</v>
      </c>
      <c r="E18" s="36">
        <f t="shared" si="0"/>
        <v>0</v>
      </c>
      <c r="F18" s="37">
        <f t="shared" si="1"/>
        <v>5</v>
      </c>
      <c r="G18" s="37">
        <f t="shared" si="2"/>
        <v>1</v>
      </c>
      <c r="H18" s="38">
        <f t="shared" si="3"/>
        <v>0</v>
      </c>
      <c r="I18" s="39">
        <f t="shared" si="6"/>
        <v>42</v>
      </c>
      <c r="J18" s="40">
        <f t="shared" si="4"/>
        <v>8.5714285714285715E-2</v>
      </c>
      <c r="K18" s="46">
        <v>46028</v>
      </c>
      <c r="L18" s="30" t="s">
        <v>19</v>
      </c>
      <c r="M18" s="42" t="b">
        <v>0</v>
      </c>
      <c r="N18" s="47">
        <v>46035</v>
      </c>
      <c r="O18" s="30" t="s">
        <v>19</v>
      </c>
      <c r="P18" s="42" t="b">
        <v>0</v>
      </c>
      <c r="Q18" s="47">
        <v>46042</v>
      </c>
      <c r="R18" s="30" t="s">
        <v>19</v>
      </c>
      <c r="S18" s="42" t="b">
        <v>0</v>
      </c>
      <c r="T18" s="47">
        <v>46105</v>
      </c>
      <c r="U18" s="30" t="s">
        <v>20</v>
      </c>
      <c r="V18" s="42" t="b">
        <v>0</v>
      </c>
      <c r="W18" s="47">
        <v>46084</v>
      </c>
      <c r="X18" s="30" t="s">
        <v>19</v>
      </c>
      <c r="Y18" s="42" t="b">
        <v>0</v>
      </c>
      <c r="Z18" s="47">
        <v>46091</v>
      </c>
      <c r="AA18" s="30" t="s">
        <v>19</v>
      </c>
      <c r="AB18" s="42" t="b">
        <v>0</v>
      </c>
      <c r="AC18" s="47"/>
      <c r="AD18" s="30"/>
      <c r="AE18" s="42" t="b">
        <v>0</v>
      </c>
      <c r="AF18" s="43"/>
      <c r="AG18" s="30"/>
      <c r="AH18" s="42" t="b">
        <v>0</v>
      </c>
      <c r="AI18" s="43"/>
      <c r="AJ18" s="30"/>
      <c r="AK18" s="42" t="b">
        <v>0</v>
      </c>
      <c r="AL18" s="43"/>
      <c r="AM18" s="30"/>
      <c r="AN18" s="48" t="b">
        <v>0</v>
      </c>
    </row>
    <row r="19" spans="1:40" ht="13" x14ac:dyDescent="0.15">
      <c r="A19" s="21"/>
      <c r="B19" s="34"/>
      <c r="C19" s="34"/>
      <c r="D19" s="69" t="s">
        <v>316</v>
      </c>
      <c r="E19" s="36">
        <f t="shared" si="0"/>
        <v>0</v>
      </c>
      <c r="F19" s="37">
        <f t="shared" si="1"/>
        <v>0</v>
      </c>
      <c r="G19" s="37">
        <f t="shared" si="2"/>
        <v>0</v>
      </c>
      <c r="H19" s="38">
        <f t="shared" si="3"/>
        <v>0</v>
      </c>
      <c r="I19" s="39">
        <f t="shared" si="6"/>
        <v>0</v>
      </c>
      <c r="J19" s="40">
        <f t="shared" si="4"/>
        <v>0</v>
      </c>
      <c r="K19" s="41"/>
      <c r="L19" s="30"/>
      <c r="M19" s="42" t="b">
        <v>0</v>
      </c>
      <c r="N19" s="43"/>
      <c r="O19" s="30"/>
      <c r="P19" s="42" t="b">
        <v>0</v>
      </c>
      <c r="Q19" s="43"/>
      <c r="R19" s="30"/>
      <c r="S19" s="42" t="b">
        <v>0</v>
      </c>
      <c r="T19" s="43"/>
      <c r="U19" s="30"/>
      <c r="V19" s="42" t="b">
        <v>0</v>
      </c>
      <c r="W19" s="43"/>
      <c r="X19" s="30"/>
      <c r="Y19" s="42" t="b">
        <v>0</v>
      </c>
      <c r="Z19" s="43"/>
      <c r="AA19" s="30"/>
      <c r="AB19" s="42" t="b">
        <v>0</v>
      </c>
      <c r="AC19" s="43"/>
      <c r="AD19" s="30"/>
      <c r="AE19" s="42" t="b">
        <v>0</v>
      </c>
      <c r="AF19" s="43"/>
      <c r="AG19" s="30"/>
      <c r="AH19" s="42" t="b">
        <v>0</v>
      </c>
      <c r="AI19" s="43"/>
      <c r="AJ19" s="30"/>
      <c r="AK19" s="42" t="b">
        <v>0</v>
      </c>
      <c r="AL19" s="43"/>
      <c r="AM19" s="30"/>
      <c r="AN19" s="48" t="b">
        <v>0</v>
      </c>
    </row>
    <row r="20" spans="1:40" ht="13" x14ac:dyDescent="0.15">
      <c r="A20" s="21"/>
      <c r="B20" s="34"/>
      <c r="C20" s="34"/>
      <c r="D20" s="69" t="s">
        <v>316</v>
      </c>
      <c r="E20" s="36">
        <f t="shared" si="0"/>
        <v>0</v>
      </c>
      <c r="F20" s="37">
        <f t="shared" si="1"/>
        <v>0</v>
      </c>
      <c r="G20" s="37">
        <f t="shared" si="2"/>
        <v>0</v>
      </c>
      <c r="H20" s="38">
        <f t="shared" si="3"/>
        <v>0</v>
      </c>
      <c r="I20" s="39">
        <f t="shared" si="6"/>
        <v>0</v>
      </c>
      <c r="J20" s="40">
        <f t="shared" si="4"/>
        <v>0</v>
      </c>
      <c r="K20" s="41"/>
      <c r="L20" s="30"/>
      <c r="M20" s="42" t="b">
        <v>0</v>
      </c>
      <c r="N20" s="43"/>
      <c r="O20" s="30"/>
      <c r="P20" s="42" t="b">
        <v>0</v>
      </c>
      <c r="Q20" s="43"/>
      <c r="R20" s="30"/>
      <c r="S20" s="42" t="b">
        <v>0</v>
      </c>
      <c r="T20" s="43"/>
      <c r="U20" s="30"/>
      <c r="V20" s="42" t="b">
        <v>0</v>
      </c>
      <c r="W20" s="43"/>
      <c r="X20" s="30"/>
      <c r="Y20" s="42" t="b">
        <v>0</v>
      </c>
      <c r="Z20" s="43"/>
      <c r="AA20" s="30"/>
      <c r="AB20" s="42" t="b">
        <v>0</v>
      </c>
      <c r="AC20" s="43"/>
      <c r="AD20" s="30"/>
      <c r="AE20" s="42" t="b">
        <v>0</v>
      </c>
      <c r="AF20" s="43"/>
      <c r="AG20" s="30"/>
      <c r="AH20" s="42" t="b">
        <v>0</v>
      </c>
      <c r="AI20" s="43"/>
      <c r="AJ20" s="30"/>
      <c r="AK20" s="42" t="b">
        <v>0</v>
      </c>
      <c r="AL20" s="43"/>
      <c r="AM20" s="30"/>
      <c r="AN20" s="48" t="b">
        <v>0</v>
      </c>
    </row>
    <row r="21" spans="1:40" ht="13" x14ac:dyDescent="0.15">
      <c r="A21" s="21"/>
      <c r="B21" s="34"/>
      <c r="C21" s="34"/>
      <c r="D21" s="69" t="s">
        <v>316</v>
      </c>
      <c r="E21" s="36">
        <f t="shared" si="0"/>
        <v>0</v>
      </c>
      <c r="F21" s="37">
        <f t="shared" si="1"/>
        <v>0</v>
      </c>
      <c r="G21" s="37">
        <f t="shared" si="2"/>
        <v>0</v>
      </c>
      <c r="H21" s="38">
        <f t="shared" si="3"/>
        <v>0</v>
      </c>
      <c r="I21" s="39">
        <f t="shared" si="6"/>
        <v>0</v>
      </c>
      <c r="J21" s="40">
        <f t="shared" si="4"/>
        <v>0</v>
      </c>
      <c r="K21" s="41"/>
      <c r="L21" s="30"/>
      <c r="M21" s="42" t="b">
        <v>0</v>
      </c>
      <c r="N21" s="43"/>
      <c r="O21" s="30"/>
      <c r="P21" s="42" t="b">
        <v>0</v>
      </c>
      <c r="Q21" s="43"/>
      <c r="R21" s="30"/>
      <c r="S21" s="42" t="b">
        <v>0</v>
      </c>
      <c r="T21" s="43"/>
      <c r="U21" s="30"/>
      <c r="V21" s="42" t="b">
        <v>0</v>
      </c>
      <c r="W21" s="43"/>
      <c r="X21" s="30"/>
      <c r="Y21" s="42" t="b">
        <v>0</v>
      </c>
      <c r="Z21" s="43" t="s">
        <v>297</v>
      </c>
      <c r="AA21" s="30"/>
      <c r="AB21" s="42" t="b">
        <v>0</v>
      </c>
      <c r="AC21" s="43"/>
      <c r="AD21" s="30"/>
      <c r="AE21" s="42" t="b">
        <v>0</v>
      </c>
      <c r="AF21" s="43"/>
      <c r="AG21" s="30"/>
      <c r="AH21" s="42" t="b">
        <v>0</v>
      </c>
      <c r="AI21" s="43"/>
      <c r="AJ21" s="30"/>
      <c r="AK21" s="42" t="b">
        <v>0</v>
      </c>
      <c r="AL21" s="43"/>
      <c r="AM21" s="30"/>
      <c r="AN21" s="48" t="b">
        <v>0</v>
      </c>
    </row>
    <row r="22" spans="1:40" ht="13" x14ac:dyDescent="0.15">
      <c r="A22" s="21"/>
      <c r="B22" s="34"/>
      <c r="C22" s="34"/>
      <c r="D22" s="69" t="s">
        <v>316</v>
      </c>
      <c r="E22" s="36">
        <f t="shared" si="0"/>
        <v>0</v>
      </c>
      <c r="F22" s="37">
        <f t="shared" si="1"/>
        <v>0</v>
      </c>
      <c r="G22" s="37">
        <f t="shared" si="2"/>
        <v>0</v>
      </c>
      <c r="H22" s="38">
        <f t="shared" si="3"/>
        <v>0</v>
      </c>
      <c r="I22" s="39">
        <f t="shared" si="6"/>
        <v>0</v>
      </c>
      <c r="J22" s="40">
        <f t="shared" si="4"/>
        <v>0</v>
      </c>
      <c r="K22" s="41"/>
      <c r="L22" s="30"/>
      <c r="M22" s="42" t="b">
        <v>0</v>
      </c>
      <c r="N22" s="43"/>
      <c r="O22" s="30"/>
      <c r="P22" s="42" t="b">
        <v>0</v>
      </c>
      <c r="Q22" s="43"/>
      <c r="R22" s="30"/>
      <c r="S22" s="42" t="b">
        <v>0</v>
      </c>
      <c r="T22" s="43"/>
      <c r="U22" s="30"/>
      <c r="V22" s="42" t="b">
        <v>0</v>
      </c>
      <c r="W22" s="43"/>
      <c r="X22" s="30"/>
      <c r="Y22" s="42" t="b">
        <v>0</v>
      </c>
      <c r="Z22" s="43"/>
      <c r="AA22" s="30"/>
      <c r="AB22" s="42" t="b">
        <v>0</v>
      </c>
      <c r="AC22" s="43"/>
      <c r="AD22" s="30"/>
      <c r="AE22" s="42" t="b">
        <v>0</v>
      </c>
      <c r="AF22" s="43"/>
      <c r="AG22" s="30"/>
      <c r="AH22" s="42" t="b">
        <v>0</v>
      </c>
      <c r="AI22" s="43"/>
      <c r="AJ22" s="30"/>
      <c r="AK22" s="42" t="b">
        <v>0</v>
      </c>
      <c r="AL22" s="43"/>
      <c r="AM22" s="30"/>
      <c r="AN22" s="48" t="b">
        <v>0</v>
      </c>
    </row>
    <row r="23" spans="1:40" ht="13" x14ac:dyDescent="0.15">
      <c r="A23" s="21"/>
      <c r="B23" s="34"/>
      <c r="C23" s="34"/>
      <c r="D23" s="69" t="s">
        <v>316</v>
      </c>
      <c r="E23" s="36">
        <f t="shared" si="0"/>
        <v>0</v>
      </c>
      <c r="F23" s="37">
        <f t="shared" si="1"/>
        <v>0</v>
      </c>
      <c r="G23" s="37">
        <f t="shared" si="2"/>
        <v>0</v>
      </c>
      <c r="H23" s="38">
        <f t="shared" si="3"/>
        <v>0</v>
      </c>
      <c r="I23" s="39">
        <f t="shared" si="6"/>
        <v>0</v>
      </c>
      <c r="J23" s="40">
        <f t="shared" si="4"/>
        <v>0</v>
      </c>
      <c r="K23" s="41"/>
      <c r="L23" s="30"/>
      <c r="M23" s="42" t="b">
        <v>0</v>
      </c>
      <c r="N23" s="43"/>
      <c r="O23" s="30"/>
      <c r="P23" s="42" t="b">
        <v>0</v>
      </c>
      <c r="Q23" s="43"/>
      <c r="R23" s="30"/>
      <c r="S23" s="42" t="b">
        <v>0</v>
      </c>
      <c r="T23" s="43"/>
      <c r="U23" s="30"/>
      <c r="V23" s="42" t="b">
        <v>0</v>
      </c>
      <c r="W23" s="43"/>
      <c r="X23" s="30"/>
      <c r="Y23" s="42" t="b">
        <v>0</v>
      </c>
      <c r="Z23" s="43"/>
      <c r="AA23" s="30"/>
      <c r="AB23" s="42" t="b">
        <v>0</v>
      </c>
      <c r="AC23" s="43"/>
      <c r="AD23" s="30"/>
      <c r="AE23" s="42" t="b">
        <v>0</v>
      </c>
      <c r="AF23" s="43"/>
      <c r="AG23" s="30"/>
      <c r="AH23" s="42" t="b">
        <v>0</v>
      </c>
      <c r="AI23" s="43"/>
      <c r="AJ23" s="30"/>
      <c r="AK23" s="42" t="b">
        <v>0</v>
      </c>
      <c r="AL23" s="43"/>
      <c r="AM23" s="30"/>
      <c r="AN23" s="48" t="b">
        <v>0</v>
      </c>
    </row>
    <row r="24" spans="1:40" ht="13" x14ac:dyDescent="0.15">
      <c r="A24" s="21"/>
      <c r="B24" s="34"/>
      <c r="C24" s="34"/>
      <c r="D24" s="69" t="s">
        <v>316</v>
      </c>
      <c r="E24" s="36">
        <f t="shared" si="0"/>
        <v>0</v>
      </c>
      <c r="F24" s="37">
        <f t="shared" si="1"/>
        <v>0</v>
      </c>
      <c r="G24" s="37">
        <f t="shared" si="2"/>
        <v>0</v>
      </c>
      <c r="H24" s="38">
        <f t="shared" si="3"/>
        <v>0</v>
      </c>
      <c r="I24" s="39">
        <f t="shared" si="6"/>
        <v>0</v>
      </c>
      <c r="J24" s="40">
        <f t="shared" si="4"/>
        <v>0</v>
      </c>
      <c r="K24" s="41"/>
      <c r="L24" s="30"/>
      <c r="M24" s="42" t="b">
        <v>0</v>
      </c>
      <c r="N24" s="43"/>
      <c r="O24" s="30"/>
      <c r="P24" s="42" t="b">
        <v>0</v>
      </c>
      <c r="Q24" s="43"/>
      <c r="R24" s="30"/>
      <c r="S24" s="42" t="b">
        <v>0</v>
      </c>
      <c r="T24" s="43"/>
      <c r="U24" s="30"/>
      <c r="V24" s="42" t="b">
        <v>0</v>
      </c>
      <c r="W24" s="43"/>
      <c r="X24" s="30"/>
      <c r="Y24" s="42" t="b">
        <v>0</v>
      </c>
      <c r="Z24" s="43"/>
      <c r="AA24" s="30"/>
      <c r="AB24" s="42" t="b">
        <v>0</v>
      </c>
      <c r="AC24" s="43"/>
      <c r="AD24" s="30"/>
      <c r="AE24" s="42" t="b">
        <v>0</v>
      </c>
      <c r="AF24" s="43"/>
      <c r="AG24" s="30"/>
      <c r="AH24" s="42" t="b">
        <v>0</v>
      </c>
      <c r="AI24" s="43"/>
      <c r="AJ24" s="30"/>
      <c r="AK24" s="42" t="b">
        <v>0</v>
      </c>
      <c r="AL24" s="43"/>
      <c r="AM24" s="30"/>
      <c r="AN24" s="48" t="b">
        <v>0</v>
      </c>
    </row>
    <row r="25" spans="1:40" ht="13" x14ac:dyDescent="0.15">
      <c r="A25" s="21"/>
      <c r="B25" s="34"/>
      <c r="C25" s="34"/>
      <c r="D25" s="69" t="s">
        <v>316</v>
      </c>
      <c r="E25" s="36">
        <f t="shared" si="0"/>
        <v>0</v>
      </c>
      <c r="F25" s="37">
        <f t="shared" si="1"/>
        <v>0</v>
      </c>
      <c r="G25" s="37">
        <f t="shared" si="2"/>
        <v>0</v>
      </c>
      <c r="H25" s="38">
        <f t="shared" si="3"/>
        <v>0</v>
      </c>
      <c r="I25" s="39">
        <f t="shared" si="6"/>
        <v>0</v>
      </c>
      <c r="J25" s="40">
        <f t="shared" si="4"/>
        <v>0</v>
      </c>
      <c r="K25" s="41"/>
      <c r="L25" s="30"/>
      <c r="M25" s="42" t="b">
        <v>0</v>
      </c>
      <c r="N25" s="43"/>
      <c r="O25" s="30"/>
      <c r="P25" s="42" t="b">
        <v>0</v>
      </c>
      <c r="Q25" s="43"/>
      <c r="R25" s="30"/>
      <c r="S25" s="42" t="b">
        <v>0</v>
      </c>
      <c r="T25" s="43"/>
      <c r="U25" s="30"/>
      <c r="V25" s="42" t="b">
        <v>0</v>
      </c>
      <c r="W25" s="43"/>
      <c r="X25" s="30"/>
      <c r="Y25" s="42" t="b">
        <v>0</v>
      </c>
      <c r="Z25" s="43"/>
      <c r="AA25" s="30"/>
      <c r="AB25" s="42" t="b">
        <v>0</v>
      </c>
      <c r="AC25" s="43"/>
      <c r="AD25" s="30"/>
      <c r="AE25" s="42" t="b">
        <v>0</v>
      </c>
      <c r="AF25" s="43"/>
      <c r="AG25" s="30"/>
      <c r="AH25" s="42" t="b">
        <v>0</v>
      </c>
      <c r="AI25" s="43"/>
      <c r="AJ25" s="30"/>
      <c r="AK25" s="42" t="b">
        <v>0</v>
      </c>
      <c r="AL25" s="43"/>
      <c r="AM25" s="30"/>
      <c r="AN25" s="48" t="b">
        <v>0</v>
      </c>
    </row>
    <row r="26" spans="1:40" ht="13" x14ac:dyDescent="0.15">
      <c r="A26" s="21"/>
      <c r="B26" s="34"/>
      <c r="C26" s="34"/>
      <c r="D26" s="69" t="s">
        <v>316</v>
      </c>
      <c r="E26" s="36">
        <f t="shared" si="0"/>
        <v>0</v>
      </c>
      <c r="F26" s="37">
        <f t="shared" si="1"/>
        <v>0</v>
      </c>
      <c r="G26" s="37">
        <f t="shared" si="2"/>
        <v>0</v>
      </c>
      <c r="H26" s="38">
        <f t="shared" si="3"/>
        <v>0</v>
      </c>
      <c r="I26" s="39">
        <f t="shared" si="6"/>
        <v>0</v>
      </c>
      <c r="J26" s="40">
        <f t="shared" si="4"/>
        <v>0</v>
      </c>
      <c r="K26" s="41"/>
      <c r="L26" s="30"/>
      <c r="M26" s="42" t="b">
        <v>0</v>
      </c>
      <c r="N26" s="43"/>
      <c r="O26" s="30"/>
      <c r="P26" s="42" t="b">
        <v>0</v>
      </c>
      <c r="Q26" s="43"/>
      <c r="R26" s="30"/>
      <c r="S26" s="42" t="b">
        <v>0</v>
      </c>
      <c r="T26" s="43"/>
      <c r="U26" s="30"/>
      <c r="V26" s="42" t="b">
        <v>0</v>
      </c>
      <c r="W26" s="43"/>
      <c r="X26" s="30"/>
      <c r="Y26" s="42" t="b">
        <v>0</v>
      </c>
      <c r="Z26" s="43"/>
      <c r="AA26" s="30"/>
      <c r="AB26" s="42" t="b">
        <v>0</v>
      </c>
      <c r="AC26" s="43"/>
      <c r="AD26" s="30"/>
      <c r="AE26" s="42" t="b">
        <v>0</v>
      </c>
      <c r="AF26" s="43"/>
      <c r="AG26" s="30"/>
      <c r="AH26" s="42" t="b">
        <v>0</v>
      </c>
      <c r="AI26" s="43"/>
      <c r="AJ26" s="30"/>
      <c r="AK26" s="42" t="b">
        <v>0</v>
      </c>
      <c r="AL26" s="43"/>
      <c r="AM26" s="30"/>
      <c r="AN26" s="48" t="b">
        <v>0</v>
      </c>
    </row>
    <row r="27" spans="1:40" ht="13" x14ac:dyDescent="0.15">
      <c r="A27" s="21"/>
      <c r="B27" s="34"/>
      <c r="C27" s="34"/>
      <c r="D27" s="69" t="s">
        <v>316</v>
      </c>
      <c r="E27" s="36">
        <f t="shared" si="0"/>
        <v>0</v>
      </c>
      <c r="F27" s="37">
        <f t="shared" si="1"/>
        <v>0</v>
      </c>
      <c r="G27" s="37">
        <f t="shared" si="2"/>
        <v>0</v>
      </c>
      <c r="H27" s="38">
        <f t="shared" si="3"/>
        <v>0</v>
      </c>
      <c r="I27" s="39">
        <f t="shared" si="6"/>
        <v>0</v>
      </c>
      <c r="J27" s="40">
        <f t="shared" si="4"/>
        <v>0</v>
      </c>
      <c r="K27" s="41"/>
      <c r="L27" s="30"/>
      <c r="M27" s="42" t="b">
        <v>0</v>
      </c>
      <c r="N27" s="43"/>
      <c r="O27" s="30"/>
      <c r="P27" s="42" t="b">
        <v>0</v>
      </c>
      <c r="Q27" s="43"/>
      <c r="R27" s="30"/>
      <c r="S27" s="42" t="b">
        <v>0</v>
      </c>
      <c r="T27" s="43"/>
      <c r="U27" s="30"/>
      <c r="V27" s="42" t="b">
        <v>0</v>
      </c>
      <c r="W27" s="43"/>
      <c r="X27" s="30"/>
      <c r="Y27" s="42" t="b">
        <v>0</v>
      </c>
      <c r="Z27" s="43"/>
      <c r="AA27" s="30"/>
      <c r="AB27" s="42" t="b">
        <v>0</v>
      </c>
      <c r="AC27" s="43"/>
      <c r="AD27" s="30"/>
      <c r="AE27" s="42" t="b">
        <v>0</v>
      </c>
      <c r="AF27" s="43"/>
      <c r="AG27" s="30"/>
      <c r="AH27" s="42" t="b">
        <v>0</v>
      </c>
      <c r="AI27" s="43"/>
      <c r="AJ27" s="30"/>
      <c r="AK27" s="42" t="b">
        <v>0</v>
      </c>
      <c r="AL27" s="43"/>
      <c r="AM27" s="30"/>
      <c r="AN27" s="48" t="b">
        <v>0</v>
      </c>
    </row>
    <row r="28" spans="1:40" ht="13" x14ac:dyDescent="0.15">
      <c r="A28" s="21"/>
      <c r="B28" s="34"/>
      <c r="C28" s="34"/>
      <c r="D28" s="69" t="s">
        <v>316</v>
      </c>
      <c r="E28" s="36">
        <f t="shared" si="0"/>
        <v>0</v>
      </c>
      <c r="F28" s="37">
        <f t="shared" si="1"/>
        <v>0</v>
      </c>
      <c r="G28" s="37">
        <f t="shared" si="2"/>
        <v>0</v>
      </c>
      <c r="H28" s="38">
        <f t="shared" si="3"/>
        <v>0</v>
      </c>
      <c r="I28" s="39">
        <f t="shared" si="6"/>
        <v>0</v>
      </c>
      <c r="J28" s="40">
        <f t="shared" si="4"/>
        <v>0</v>
      </c>
      <c r="K28" s="41"/>
      <c r="L28" s="30"/>
      <c r="M28" s="42" t="b">
        <v>0</v>
      </c>
      <c r="N28" s="43"/>
      <c r="O28" s="30"/>
      <c r="P28" s="42" t="b">
        <v>0</v>
      </c>
      <c r="Q28" s="43"/>
      <c r="R28" s="30"/>
      <c r="S28" s="42" t="b">
        <v>0</v>
      </c>
      <c r="T28" s="43"/>
      <c r="U28" s="30"/>
      <c r="V28" s="42" t="b">
        <v>0</v>
      </c>
      <c r="W28" s="43"/>
      <c r="X28" s="30"/>
      <c r="Y28" s="42" t="b">
        <v>0</v>
      </c>
      <c r="Z28" s="43"/>
      <c r="AA28" s="30"/>
      <c r="AB28" s="42" t="b">
        <v>0</v>
      </c>
      <c r="AC28" s="43"/>
      <c r="AD28" s="30"/>
      <c r="AE28" s="42" t="b">
        <v>0</v>
      </c>
      <c r="AF28" s="43"/>
      <c r="AG28" s="30"/>
      <c r="AH28" s="42" t="b">
        <v>0</v>
      </c>
      <c r="AI28" s="43"/>
      <c r="AJ28" s="30"/>
      <c r="AK28" s="42" t="b">
        <v>0</v>
      </c>
      <c r="AL28" s="43"/>
      <c r="AM28" s="30"/>
      <c r="AN28" s="48" t="b">
        <v>0</v>
      </c>
    </row>
    <row r="29" spans="1:40" ht="13" x14ac:dyDescent="0.15">
      <c r="A29" s="21"/>
      <c r="B29" s="34"/>
      <c r="C29" s="34"/>
      <c r="D29" s="69" t="s">
        <v>316</v>
      </c>
      <c r="E29" s="36">
        <f t="shared" si="0"/>
        <v>0</v>
      </c>
      <c r="F29" s="37">
        <f t="shared" si="1"/>
        <v>0</v>
      </c>
      <c r="G29" s="37">
        <f t="shared" si="2"/>
        <v>0</v>
      </c>
      <c r="H29" s="38">
        <f t="shared" si="3"/>
        <v>0</v>
      </c>
      <c r="I29" s="39">
        <f t="shared" si="6"/>
        <v>0</v>
      </c>
      <c r="J29" s="40">
        <f t="shared" si="4"/>
        <v>0</v>
      </c>
      <c r="K29" s="41"/>
      <c r="L29" s="30"/>
      <c r="M29" s="42" t="b">
        <v>0</v>
      </c>
      <c r="N29" s="43"/>
      <c r="O29" s="30"/>
      <c r="P29" s="42" t="b">
        <v>0</v>
      </c>
      <c r="Q29" s="43"/>
      <c r="R29" s="30"/>
      <c r="S29" s="42" t="b">
        <v>0</v>
      </c>
      <c r="T29" s="43"/>
      <c r="U29" s="30"/>
      <c r="V29" s="42" t="b">
        <v>0</v>
      </c>
      <c r="W29" s="43"/>
      <c r="X29" s="30"/>
      <c r="Y29" s="42" t="b">
        <v>0</v>
      </c>
      <c r="Z29" s="43"/>
      <c r="AA29" s="30"/>
      <c r="AB29" s="42" t="b">
        <v>0</v>
      </c>
      <c r="AC29" s="43"/>
      <c r="AD29" s="30"/>
      <c r="AE29" s="42" t="b">
        <v>0</v>
      </c>
      <c r="AF29" s="43"/>
      <c r="AG29" s="30"/>
      <c r="AH29" s="42" t="b">
        <v>0</v>
      </c>
      <c r="AI29" s="43"/>
      <c r="AJ29" s="30"/>
      <c r="AK29" s="42" t="b">
        <v>0</v>
      </c>
      <c r="AL29" s="43"/>
      <c r="AM29" s="30"/>
      <c r="AN29" s="48" t="b">
        <v>0</v>
      </c>
    </row>
    <row r="30" spans="1:40" ht="13" x14ac:dyDescent="0.15">
      <c r="A30" s="21"/>
      <c r="B30" s="34"/>
      <c r="C30" s="34"/>
      <c r="D30" s="69" t="s">
        <v>316</v>
      </c>
      <c r="E30" s="36">
        <f t="shared" si="0"/>
        <v>0</v>
      </c>
      <c r="F30" s="37">
        <f t="shared" si="1"/>
        <v>0</v>
      </c>
      <c r="G30" s="37">
        <f t="shared" si="2"/>
        <v>0</v>
      </c>
      <c r="H30" s="38">
        <f t="shared" si="3"/>
        <v>0</v>
      </c>
      <c r="I30" s="39">
        <f t="shared" si="6"/>
        <v>0</v>
      </c>
      <c r="J30" s="40">
        <f t="shared" si="4"/>
        <v>0</v>
      </c>
      <c r="K30" s="41"/>
      <c r="L30" s="30"/>
      <c r="M30" s="42" t="b">
        <v>0</v>
      </c>
      <c r="N30" s="43"/>
      <c r="O30" s="30"/>
      <c r="P30" s="42" t="b">
        <v>0</v>
      </c>
      <c r="Q30" s="43"/>
      <c r="R30" s="30"/>
      <c r="S30" s="42" t="b">
        <v>0</v>
      </c>
      <c r="T30" s="43"/>
      <c r="U30" s="30"/>
      <c r="V30" s="42" t="b">
        <v>0</v>
      </c>
      <c r="W30" s="43"/>
      <c r="X30" s="30"/>
      <c r="Y30" s="42" t="b">
        <v>0</v>
      </c>
      <c r="Z30" s="43"/>
      <c r="AA30" s="30"/>
      <c r="AB30" s="42" t="b">
        <v>0</v>
      </c>
      <c r="AC30" s="43"/>
      <c r="AD30" s="30"/>
      <c r="AE30" s="42" t="b">
        <v>0</v>
      </c>
      <c r="AF30" s="43"/>
      <c r="AG30" s="30"/>
      <c r="AH30" s="42" t="b">
        <v>0</v>
      </c>
      <c r="AI30" s="43"/>
      <c r="AJ30" s="30"/>
      <c r="AK30" s="42" t="b">
        <v>0</v>
      </c>
      <c r="AL30" s="43"/>
      <c r="AM30" s="30"/>
      <c r="AN30" s="48" t="b">
        <v>0</v>
      </c>
    </row>
    <row r="31" spans="1:40" ht="13" x14ac:dyDescent="0.15">
      <c r="A31" s="21"/>
      <c r="B31" s="34"/>
      <c r="C31" s="34"/>
      <c r="D31" s="69" t="s">
        <v>316</v>
      </c>
      <c r="E31" s="36">
        <f t="shared" si="0"/>
        <v>0</v>
      </c>
      <c r="F31" s="37">
        <f t="shared" si="1"/>
        <v>0</v>
      </c>
      <c r="G31" s="37">
        <f t="shared" si="2"/>
        <v>0</v>
      </c>
      <c r="H31" s="38">
        <f t="shared" si="3"/>
        <v>0</v>
      </c>
      <c r="I31" s="39">
        <f t="shared" si="6"/>
        <v>0</v>
      </c>
      <c r="J31" s="40">
        <f t="shared" si="4"/>
        <v>0</v>
      </c>
      <c r="K31" s="41"/>
      <c r="L31" s="30"/>
      <c r="M31" s="42" t="b">
        <v>0</v>
      </c>
      <c r="N31" s="43"/>
      <c r="O31" s="30"/>
      <c r="P31" s="42" t="b">
        <v>0</v>
      </c>
      <c r="Q31" s="43"/>
      <c r="R31" s="30"/>
      <c r="S31" s="42" t="b">
        <v>0</v>
      </c>
      <c r="T31" s="43"/>
      <c r="U31" s="30"/>
      <c r="V31" s="42" t="b">
        <v>0</v>
      </c>
      <c r="W31" s="43"/>
      <c r="X31" s="30"/>
      <c r="Y31" s="42" t="b">
        <v>0</v>
      </c>
      <c r="Z31" s="43"/>
      <c r="AA31" s="30"/>
      <c r="AB31" s="42" t="b">
        <v>0</v>
      </c>
      <c r="AC31" s="43"/>
      <c r="AD31" s="30"/>
      <c r="AE31" s="42" t="b">
        <v>0</v>
      </c>
      <c r="AF31" s="43"/>
      <c r="AG31" s="30"/>
      <c r="AH31" s="42" t="b">
        <v>0</v>
      </c>
      <c r="AI31" s="43"/>
      <c r="AJ31" s="30"/>
      <c r="AK31" s="42" t="b">
        <v>0</v>
      </c>
      <c r="AL31" s="43"/>
      <c r="AM31" s="30"/>
      <c r="AN31" s="48" t="b">
        <v>0</v>
      </c>
    </row>
    <row r="32" spans="1:40" ht="13" x14ac:dyDescent="0.15">
      <c r="A32" s="21"/>
      <c r="B32" s="34"/>
      <c r="C32" s="34"/>
      <c r="D32" s="69" t="s">
        <v>316</v>
      </c>
      <c r="E32" s="36">
        <f t="shared" si="0"/>
        <v>0</v>
      </c>
      <c r="F32" s="37">
        <f t="shared" si="1"/>
        <v>0</v>
      </c>
      <c r="G32" s="37">
        <f t="shared" si="2"/>
        <v>0</v>
      </c>
      <c r="H32" s="38">
        <f t="shared" si="3"/>
        <v>0</v>
      </c>
      <c r="I32" s="39">
        <f t="shared" si="6"/>
        <v>0</v>
      </c>
      <c r="J32" s="40">
        <f t="shared" si="4"/>
        <v>0</v>
      </c>
      <c r="K32" s="41"/>
      <c r="L32" s="30"/>
      <c r="M32" s="42" t="b">
        <v>0</v>
      </c>
      <c r="N32" s="43"/>
      <c r="O32" s="30"/>
      <c r="P32" s="42" t="b">
        <v>0</v>
      </c>
      <c r="Q32" s="43"/>
      <c r="R32" s="30"/>
      <c r="S32" s="42" t="b">
        <v>0</v>
      </c>
      <c r="T32" s="43"/>
      <c r="U32" s="30"/>
      <c r="V32" s="42" t="b">
        <v>0</v>
      </c>
      <c r="W32" s="43"/>
      <c r="X32" s="30"/>
      <c r="Y32" s="42" t="b">
        <v>0</v>
      </c>
      <c r="Z32" s="43"/>
      <c r="AA32" s="30"/>
      <c r="AB32" s="42" t="b">
        <v>0</v>
      </c>
      <c r="AC32" s="43"/>
      <c r="AD32" s="30"/>
      <c r="AE32" s="42" t="b">
        <v>0</v>
      </c>
      <c r="AF32" s="43"/>
      <c r="AG32" s="30"/>
      <c r="AH32" s="42" t="b">
        <v>0</v>
      </c>
      <c r="AI32" s="43"/>
      <c r="AJ32" s="30"/>
      <c r="AK32" s="42" t="b">
        <v>0</v>
      </c>
      <c r="AL32" s="43"/>
      <c r="AM32" s="30"/>
      <c r="AN32" s="48" t="b">
        <v>0</v>
      </c>
    </row>
    <row r="33" spans="1:40" ht="13" x14ac:dyDescent="0.15">
      <c r="A33" s="21"/>
      <c r="B33" s="34"/>
      <c r="C33" s="34"/>
      <c r="D33" s="69" t="s">
        <v>316</v>
      </c>
      <c r="E33" s="36">
        <f t="shared" si="0"/>
        <v>0</v>
      </c>
      <c r="F33" s="37">
        <f t="shared" si="1"/>
        <v>0</v>
      </c>
      <c r="G33" s="37">
        <f t="shared" si="2"/>
        <v>0</v>
      </c>
      <c r="H33" s="38">
        <f t="shared" si="3"/>
        <v>0</v>
      </c>
      <c r="I33" s="39">
        <f t="shared" si="6"/>
        <v>0</v>
      </c>
      <c r="J33" s="40">
        <f t="shared" si="4"/>
        <v>0</v>
      </c>
      <c r="K33" s="41"/>
      <c r="L33" s="30"/>
      <c r="M33" s="42" t="b">
        <v>0</v>
      </c>
      <c r="N33" s="43"/>
      <c r="O33" s="30"/>
      <c r="P33" s="42" t="b">
        <v>0</v>
      </c>
      <c r="Q33" s="43"/>
      <c r="R33" s="30"/>
      <c r="S33" s="42" t="b">
        <v>0</v>
      </c>
      <c r="T33" s="43"/>
      <c r="U33" s="30"/>
      <c r="V33" s="42" t="b">
        <v>0</v>
      </c>
      <c r="W33" s="43"/>
      <c r="X33" s="30"/>
      <c r="Y33" s="42" t="b">
        <v>0</v>
      </c>
      <c r="Z33" s="43"/>
      <c r="AA33" s="30"/>
      <c r="AB33" s="42" t="b">
        <v>0</v>
      </c>
      <c r="AC33" s="43"/>
      <c r="AD33" s="30"/>
      <c r="AE33" s="42" t="b">
        <v>0</v>
      </c>
      <c r="AF33" s="43"/>
      <c r="AG33" s="30"/>
      <c r="AH33" s="42" t="b">
        <v>0</v>
      </c>
      <c r="AI33" s="43"/>
      <c r="AJ33" s="30"/>
      <c r="AK33" s="42" t="b">
        <v>0</v>
      </c>
      <c r="AL33" s="43"/>
      <c r="AM33" s="30"/>
      <c r="AN33" s="48" t="b">
        <v>0</v>
      </c>
    </row>
    <row r="34" spans="1:40" ht="13" x14ac:dyDescent="0.15">
      <c r="A34" s="21"/>
      <c r="B34" s="34"/>
      <c r="C34" s="34"/>
      <c r="D34" s="69" t="s">
        <v>316</v>
      </c>
      <c r="E34" s="36">
        <f t="shared" si="0"/>
        <v>0</v>
      </c>
      <c r="F34" s="37">
        <f t="shared" si="1"/>
        <v>0</v>
      </c>
      <c r="G34" s="37">
        <f t="shared" si="2"/>
        <v>0</v>
      </c>
      <c r="H34" s="38">
        <f t="shared" si="3"/>
        <v>0</v>
      </c>
      <c r="I34" s="39">
        <f t="shared" si="6"/>
        <v>0</v>
      </c>
      <c r="J34" s="40">
        <f t="shared" si="4"/>
        <v>0</v>
      </c>
      <c r="K34" s="41"/>
      <c r="L34" s="30"/>
      <c r="M34" s="42" t="b">
        <v>0</v>
      </c>
      <c r="N34" s="43"/>
      <c r="O34" s="30"/>
      <c r="P34" s="42" t="b">
        <v>0</v>
      </c>
      <c r="Q34" s="43"/>
      <c r="R34" s="30"/>
      <c r="S34" s="42" t="b">
        <v>0</v>
      </c>
      <c r="T34" s="43"/>
      <c r="U34" s="30"/>
      <c r="V34" s="42" t="b">
        <v>0</v>
      </c>
      <c r="W34" s="43"/>
      <c r="X34" s="30"/>
      <c r="Y34" s="42" t="b">
        <v>0</v>
      </c>
      <c r="Z34" s="43"/>
      <c r="AA34" s="30"/>
      <c r="AB34" s="42" t="b">
        <v>0</v>
      </c>
      <c r="AC34" s="43"/>
      <c r="AD34" s="30"/>
      <c r="AE34" s="42" t="b">
        <v>0</v>
      </c>
      <c r="AF34" s="43"/>
      <c r="AG34" s="30"/>
      <c r="AH34" s="42" t="b">
        <v>0</v>
      </c>
      <c r="AI34" s="43"/>
      <c r="AJ34" s="30"/>
      <c r="AK34" s="42" t="b">
        <v>0</v>
      </c>
      <c r="AL34" s="43"/>
      <c r="AM34" s="30"/>
      <c r="AN34" s="48" t="b">
        <v>0</v>
      </c>
    </row>
    <row r="40" spans="1:40" ht="13" x14ac:dyDescent="0.15">
      <c r="B40" s="70" t="s">
        <v>298</v>
      </c>
    </row>
  </sheetData>
  <customSheetViews>
    <customSheetView guid="{288B6905-A0AC-444D-99DA-8E8948982A32}" filter="1" showAutoFilter="1">
      <pageMargins left="0.7" right="0.7" top="0.75" bottom="0.75" header="0.3" footer="0.3"/>
      <autoFilter ref="A6:A18" xr:uid="{6D1F6CBF-4D80-084B-B134-5709C1A907B9}">
        <filterColumn colId="0">
          <filters>
            <filter val="REM1"/>
          </filters>
        </filterColumn>
      </autoFilter>
    </customSheetView>
  </customSheetViews>
  <mergeCells count="13">
    <mergeCell ref="AL5:AN5"/>
    <mergeCell ref="E5:H5"/>
    <mergeCell ref="I5:I6"/>
    <mergeCell ref="J5:J6"/>
    <mergeCell ref="K5:M5"/>
    <mergeCell ref="N5:P5"/>
    <mergeCell ref="Q5:S5"/>
    <mergeCell ref="T5:V5"/>
    <mergeCell ref="W5:Y5"/>
    <mergeCell ref="Z5:AB5"/>
    <mergeCell ref="AC5:AE5"/>
    <mergeCell ref="AF5:AH5"/>
    <mergeCell ref="AI5:AK5"/>
  </mergeCells>
  <conditionalFormatting sqref="F7:F34">
    <cfRule type="cellIs" dxfId="2" priority="1" operator="between">
      <formula>3</formula>
      <formula>4</formula>
    </cfRule>
    <cfRule type="cellIs" dxfId="1" priority="2" operator="between">
      <formula>1</formula>
      <formula>2</formula>
    </cfRule>
    <cfRule type="cellIs" dxfId="0" priority="3" operator="greaterThanOrEqual">
      <formula>5</formula>
    </cfRule>
  </conditionalFormatting>
  <dataValidations count="2">
    <dataValidation type="list" allowBlank="1" showErrorMessage="1" sqref="L7:L34 O7:O34 R7:R34 U7:U34 X7:X34 AA7:AA34 AD7:AD34 AG7:AG34 AJ7:AJ34 AM7:AM34" xr:uid="{00000000-0002-0000-0300-000000000000}">
      <formula1>"AJ,AI,AM,Ent"</formula1>
    </dataValidation>
    <dataValidation type="list" allowBlank="1" showErrorMessage="1" sqref="A7:A34" xr:uid="{00000000-0002-0000-0300-000001000000}">
      <formula1>"REM1,REM2,REM3,REM4"</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Abs NTC</vt:lpstr>
      <vt:lpstr>Abs AD</vt:lpstr>
      <vt:lpstr>Abs CC</vt:lpstr>
      <vt:lpstr>Abs REM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Loïc Rabearivelo</cp:lastModifiedBy>
  <dcterms:modified xsi:type="dcterms:W3CDTF">2026-06-26T10:03:06Z</dcterms:modified>
</cp:coreProperties>
</file>